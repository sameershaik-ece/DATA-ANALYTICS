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1e5aaa50ec3f07be/Apps/Desktop/EC III - SEM2/CRT/DA FILES/"/>
    </mc:Choice>
  </mc:AlternateContent>
  <xr:revisionPtr revIDLastSave="0" documentId="8_{9B318FCF-82EE-4754-BC24-D4819CF01D27}" xr6:coauthVersionLast="47" xr6:coauthVersionMax="47" xr10:uidLastSave="{00000000-0000-0000-0000-000000000000}"/>
  <bookViews>
    <workbookView xWindow="-156" yWindow="0" windowWidth="17280" windowHeight="8880" xr2:uid="{00000000-000D-0000-FFFF-FFFF00000000}"/>
  </bookViews>
  <sheets>
    <sheet name="Student_Data" sheetId="1" r:id="rId1"/>
    <sheet name="Sheet1" sheetId="2" r:id="rId2"/>
    <sheet name="Sheet2" sheetId="3" r:id="rId3"/>
  </sheets>
  <definedNames>
    <definedName name="Slicer_Attendance">#N/A</definedName>
    <definedName name="Slicer_Department">#N/A</definedName>
    <definedName name="Slicer_Student_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1" l="1"/>
  <c r="Q11" i="1"/>
  <c r="Q10" i="1"/>
  <c r="Q9" i="1"/>
  <c r="Q8" i="1"/>
  <c r="P12" i="1"/>
  <c r="P8" i="1"/>
  <c r="P11" i="1"/>
  <c r="P10" i="1"/>
  <c r="P9"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2" i="1"/>
  <c r="L2" i="1" s="1"/>
</calcChain>
</file>

<file path=xl/sharedStrings.xml><?xml version="1.0" encoding="utf-8"?>
<sst xmlns="http://schemas.openxmlformats.org/spreadsheetml/2006/main" count="198" uniqueCount="36">
  <si>
    <t>Student_ID</t>
  </si>
  <si>
    <t>Gender</t>
  </si>
  <si>
    <t>Department</t>
  </si>
  <si>
    <t>Semester</t>
  </si>
  <si>
    <t>Attendance_%</t>
  </si>
  <si>
    <t>Maths</t>
  </si>
  <si>
    <t>Physics</t>
  </si>
  <si>
    <t>Chemistry</t>
  </si>
  <si>
    <t>Computer_Science</t>
  </si>
  <si>
    <t>English</t>
  </si>
  <si>
    <t>Total_Marks</t>
  </si>
  <si>
    <t>Overall_%</t>
  </si>
  <si>
    <t>GPA</t>
  </si>
  <si>
    <t>Performance_Status</t>
  </si>
  <si>
    <t>Male</t>
  </si>
  <si>
    <t>Mechanical</t>
  </si>
  <si>
    <t>Excellent</t>
  </si>
  <si>
    <t>Average</t>
  </si>
  <si>
    <t>Female</t>
  </si>
  <si>
    <t>CSE</t>
  </si>
  <si>
    <t>Good</t>
  </si>
  <si>
    <t>EEE</t>
  </si>
  <si>
    <t>ECE</t>
  </si>
  <si>
    <t>Civil</t>
  </si>
  <si>
    <t>CIVIL</t>
  </si>
  <si>
    <t>MECHANICAL</t>
  </si>
  <si>
    <t>avg gpa</t>
  </si>
  <si>
    <t>avg attendence</t>
  </si>
  <si>
    <t>department2</t>
  </si>
  <si>
    <t>Sum of Attendance_%</t>
  </si>
  <si>
    <t>Count of Student_ID</t>
  </si>
  <si>
    <t>Row Labels</t>
  </si>
  <si>
    <t>Grand Total</t>
  </si>
  <si>
    <t>(blank)</t>
  </si>
  <si>
    <t>Sum of avg gpa</t>
  </si>
  <si>
    <t>Sum of avg attendence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</si>
</sst>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67818192175065E-2"/>
          <c:y val="0.24939596092155147"/>
          <c:w val="0.76927950784115262"/>
          <c:h val="0.53774387576552929"/>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Sheet1!$A$4:$A$54</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Sheet1!$B$4:$B$54</c:f>
              <c:numCache>
                <c:formatCode>General</c:formatCode>
                <c:ptCount val="50"/>
                <c:pt idx="0">
                  <c:v>88</c:v>
                </c:pt>
                <c:pt idx="1">
                  <c:v>87</c:v>
                </c:pt>
                <c:pt idx="2">
                  <c:v>97</c:v>
                </c:pt>
                <c:pt idx="3">
                  <c:v>79</c:v>
                </c:pt>
                <c:pt idx="4">
                  <c:v>98</c:v>
                </c:pt>
                <c:pt idx="5">
                  <c:v>81</c:v>
                </c:pt>
                <c:pt idx="6">
                  <c:v>81</c:v>
                </c:pt>
                <c:pt idx="7">
                  <c:v>93</c:v>
                </c:pt>
                <c:pt idx="8">
                  <c:v>67</c:v>
                </c:pt>
                <c:pt idx="9">
                  <c:v>74</c:v>
                </c:pt>
                <c:pt idx="10">
                  <c:v>93</c:v>
                </c:pt>
                <c:pt idx="11">
                  <c:v>93</c:v>
                </c:pt>
                <c:pt idx="12">
                  <c:v>97</c:v>
                </c:pt>
                <c:pt idx="13">
                  <c:v>80</c:v>
                </c:pt>
                <c:pt idx="14">
                  <c:v>88</c:v>
                </c:pt>
                <c:pt idx="15">
                  <c:v>66</c:v>
                </c:pt>
                <c:pt idx="16">
                  <c:v>78</c:v>
                </c:pt>
                <c:pt idx="17">
                  <c:v>82</c:v>
                </c:pt>
                <c:pt idx="18">
                  <c:v>77</c:v>
                </c:pt>
                <c:pt idx="19">
                  <c:v>90</c:v>
                </c:pt>
                <c:pt idx="20">
                  <c:v>66</c:v>
                </c:pt>
                <c:pt idx="21">
                  <c:v>75</c:v>
                </c:pt>
                <c:pt idx="22">
                  <c:v>71</c:v>
                </c:pt>
                <c:pt idx="23">
                  <c:v>67</c:v>
                </c:pt>
                <c:pt idx="24">
                  <c:v>68</c:v>
                </c:pt>
                <c:pt idx="25">
                  <c:v>72</c:v>
                </c:pt>
                <c:pt idx="26">
                  <c:v>72</c:v>
                </c:pt>
                <c:pt idx="27">
                  <c:v>89</c:v>
                </c:pt>
                <c:pt idx="28">
                  <c:v>92</c:v>
                </c:pt>
                <c:pt idx="29">
                  <c:v>66</c:v>
                </c:pt>
                <c:pt idx="30">
                  <c:v>73</c:v>
                </c:pt>
                <c:pt idx="31">
                  <c:v>98</c:v>
                </c:pt>
                <c:pt idx="32">
                  <c:v>75</c:v>
                </c:pt>
                <c:pt idx="33">
                  <c:v>98</c:v>
                </c:pt>
                <c:pt idx="34">
                  <c:v>82</c:v>
                </c:pt>
                <c:pt idx="35">
                  <c:v>84</c:v>
                </c:pt>
                <c:pt idx="36">
                  <c:v>86</c:v>
                </c:pt>
                <c:pt idx="37">
                  <c:v>85</c:v>
                </c:pt>
                <c:pt idx="38">
                  <c:v>77</c:v>
                </c:pt>
                <c:pt idx="39">
                  <c:v>66</c:v>
                </c:pt>
                <c:pt idx="40">
                  <c:v>80</c:v>
                </c:pt>
                <c:pt idx="41">
                  <c:v>98</c:v>
                </c:pt>
                <c:pt idx="42">
                  <c:v>95</c:v>
                </c:pt>
                <c:pt idx="43">
                  <c:v>85</c:v>
                </c:pt>
                <c:pt idx="44">
                  <c:v>78</c:v>
                </c:pt>
                <c:pt idx="45">
                  <c:v>70</c:v>
                </c:pt>
                <c:pt idx="46">
                  <c:v>70</c:v>
                </c:pt>
                <c:pt idx="47">
                  <c:v>77</c:v>
                </c:pt>
                <c:pt idx="48">
                  <c:v>96</c:v>
                </c:pt>
                <c:pt idx="49">
                  <c:v>87</c:v>
                </c:pt>
              </c:numCache>
            </c:numRef>
          </c:val>
          <c:extLst>
            <c:ext xmlns:c16="http://schemas.microsoft.com/office/drawing/2014/chart" uri="{C3380CC4-5D6E-409C-BE32-E72D297353CC}">
              <c16:uniqueId val="{00000000-C3E3-45A9-A0F2-01A689396B82}"/>
            </c:ext>
          </c:extLst>
        </c:ser>
        <c:dLbls>
          <c:showLegendKey val="0"/>
          <c:showVal val="0"/>
          <c:showCatName val="0"/>
          <c:showSerName val="0"/>
          <c:showPercent val="0"/>
          <c:showBubbleSize val="0"/>
        </c:dLbls>
        <c:gapWidth val="219"/>
        <c:overlap val="-27"/>
        <c:axId val="1098750208"/>
        <c:axId val="1098751168"/>
      </c:barChart>
      <c:catAx>
        <c:axId val="10987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51168"/>
        <c:crosses val="autoZero"/>
        <c:auto val="1"/>
        <c:lblAlgn val="ctr"/>
        <c:lblOffset val="100"/>
        <c:noMultiLvlLbl val="0"/>
      </c:catAx>
      <c:valAx>
        <c:axId val="109875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5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c:f>
              <c:strCache>
                <c:ptCount val="1"/>
                <c:pt idx="0">
                  <c:v>Total</c:v>
                </c:pt>
              </c:strCache>
            </c:strRef>
          </c:tx>
          <c:spPr>
            <a:solidFill>
              <a:schemeClr val="accent1"/>
            </a:solidFill>
            <a:ln>
              <a:noFill/>
            </a:ln>
            <a:effectLst/>
          </c:spPr>
          <c:invertIfNegative val="0"/>
          <c:cat>
            <c:strRef>
              <c:f>Sheet1!$D$4:$D$10</c:f>
              <c:strCache>
                <c:ptCount val="6"/>
                <c:pt idx="0">
                  <c:v>CIVIL</c:v>
                </c:pt>
                <c:pt idx="1">
                  <c:v>CSE</c:v>
                </c:pt>
                <c:pt idx="2">
                  <c:v>ECE</c:v>
                </c:pt>
                <c:pt idx="3">
                  <c:v>EEE</c:v>
                </c:pt>
                <c:pt idx="4">
                  <c:v>MECHANICAL</c:v>
                </c:pt>
                <c:pt idx="5">
                  <c:v>(blank)</c:v>
                </c:pt>
              </c:strCache>
            </c:strRef>
          </c:cat>
          <c:val>
            <c:numRef>
              <c:f>Sheet1!$E$4:$E$10</c:f>
              <c:numCache>
                <c:formatCode>General</c:formatCode>
                <c:ptCount val="6"/>
                <c:pt idx="0">
                  <c:v>3.1666666666666665</c:v>
                </c:pt>
                <c:pt idx="1">
                  <c:v>3.4090909090909092</c:v>
                </c:pt>
                <c:pt idx="2">
                  <c:v>3.4615384615384617</c:v>
                </c:pt>
                <c:pt idx="3">
                  <c:v>3.5</c:v>
                </c:pt>
                <c:pt idx="4">
                  <c:v>3.5</c:v>
                </c:pt>
              </c:numCache>
            </c:numRef>
          </c:val>
          <c:extLst>
            <c:ext xmlns:c16="http://schemas.microsoft.com/office/drawing/2014/chart" uri="{C3380CC4-5D6E-409C-BE32-E72D297353CC}">
              <c16:uniqueId val="{00000000-7D05-4E9E-95AE-0BEC0F076D9E}"/>
            </c:ext>
          </c:extLst>
        </c:ser>
        <c:dLbls>
          <c:showLegendKey val="0"/>
          <c:showVal val="0"/>
          <c:showCatName val="0"/>
          <c:showSerName val="0"/>
          <c:showPercent val="0"/>
          <c:showBubbleSize val="0"/>
        </c:dLbls>
        <c:gapWidth val="150"/>
        <c:overlap val="100"/>
        <c:axId val="1202821472"/>
        <c:axId val="1103486960"/>
      </c:barChart>
      <c:catAx>
        <c:axId val="12028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86960"/>
        <c:crosses val="autoZero"/>
        <c:auto val="1"/>
        <c:lblAlgn val="ctr"/>
        <c:lblOffset val="100"/>
        <c:noMultiLvlLbl val="0"/>
      </c:catAx>
      <c:valAx>
        <c:axId val="11034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A9-484A-808C-A26C1D8AF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A9-484A-808C-A26C1D8AF60F}"/>
              </c:ext>
            </c:extLst>
          </c:dPt>
          <c:cat>
            <c:strRef>
              <c:f>Sheet1!$G$4:$G$6</c:f>
              <c:strCache>
                <c:ptCount val="2"/>
                <c:pt idx="0">
                  <c:v>Female</c:v>
                </c:pt>
                <c:pt idx="1">
                  <c:v>Male</c:v>
                </c:pt>
              </c:strCache>
            </c:strRef>
          </c:cat>
          <c:val>
            <c:numRef>
              <c:f>Sheet1!$H$4:$H$6</c:f>
              <c:numCache>
                <c:formatCode>General</c:formatCode>
                <c:ptCount val="2"/>
                <c:pt idx="0">
                  <c:v>20</c:v>
                </c:pt>
                <c:pt idx="1">
                  <c:v>30</c:v>
                </c:pt>
              </c:numCache>
            </c:numRef>
          </c:val>
          <c:extLst>
            <c:ext xmlns:c16="http://schemas.microsoft.com/office/drawing/2014/chart" uri="{C3380CC4-5D6E-409C-BE32-E72D297353CC}">
              <c16:uniqueId val="{00000000-A2E9-4940-B77A-EBA811F6F27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Sheet1!$K$3</c:f>
              <c:strCache>
                <c:ptCount val="1"/>
                <c:pt idx="0">
                  <c:v>Total</c:v>
                </c:pt>
              </c:strCache>
            </c:strRef>
          </c:tx>
          <c:spPr>
            <a:solidFill>
              <a:schemeClr val="accent1"/>
            </a:solidFill>
            <a:ln>
              <a:noFill/>
            </a:ln>
            <a:effectLst/>
            <a:sp3d/>
          </c:spPr>
          <c:invertIfNegative val="0"/>
          <c:cat>
            <c:strRef>
              <c:f>Sheet1!$J$4:$J$10</c:f>
              <c:strCache>
                <c:ptCount val="6"/>
                <c:pt idx="0">
                  <c:v>CIVIL</c:v>
                </c:pt>
                <c:pt idx="1">
                  <c:v>CSE</c:v>
                </c:pt>
                <c:pt idx="2">
                  <c:v>ECE</c:v>
                </c:pt>
                <c:pt idx="3">
                  <c:v>EEE</c:v>
                </c:pt>
                <c:pt idx="4">
                  <c:v>MECHANICAL</c:v>
                </c:pt>
                <c:pt idx="5">
                  <c:v>(blank)</c:v>
                </c:pt>
              </c:strCache>
            </c:strRef>
          </c:cat>
          <c:val>
            <c:numRef>
              <c:f>Sheet1!$K$4:$K$10</c:f>
              <c:numCache>
                <c:formatCode>General</c:formatCode>
                <c:ptCount val="6"/>
                <c:pt idx="0">
                  <c:v>78.166666666666671</c:v>
                </c:pt>
                <c:pt idx="1">
                  <c:v>81.36363636363636</c:v>
                </c:pt>
                <c:pt idx="2">
                  <c:v>82.92307692307692</c:v>
                </c:pt>
                <c:pt idx="3">
                  <c:v>78.2</c:v>
                </c:pt>
                <c:pt idx="4">
                  <c:v>86</c:v>
                </c:pt>
              </c:numCache>
            </c:numRef>
          </c:val>
          <c:extLst>
            <c:ext xmlns:c16="http://schemas.microsoft.com/office/drawing/2014/chart" uri="{C3380CC4-5D6E-409C-BE32-E72D297353CC}">
              <c16:uniqueId val="{00000000-EED4-4A06-885B-B109E8D0423C}"/>
            </c:ext>
          </c:extLst>
        </c:ser>
        <c:dLbls>
          <c:showLegendKey val="0"/>
          <c:showVal val="0"/>
          <c:showCatName val="0"/>
          <c:showSerName val="0"/>
          <c:showPercent val="0"/>
          <c:showBubbleSize val="0"/>
        </c:dLbls>
        <c:gapWidth val="150"/>
        <c:shape val="box"/>
        <c:axId val="1377110704"/>
        <c:axId val="1377105424"/>
        <c:axId val="0"/>
      </c:bar3DChart>
      <c:catAx>
        <c:axId val="137711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05424"/>
        <c:crosses val="autoZero"/>
        <c:auto val="1"/>
        <c:lblAlgn val="ctr"/>
        <c:lblOffset val="100"/>
        <c:noMultiLvlLbl val="0"/>
      </c:catAx>
      <c:valAx>
        <c:axId val="137710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1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student</a:t>
            </a:r>
            <a:r>
              <a:rPr lang="en-IN" baseline="0"/>
              <a:t> attendence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Sheet1!$A$4:$A$54</c:f>
              <c:strCach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strCache>
            </c:strRef>
          </c:cat>
          <c:val>
            <c:numRef>
              <c:f>Sheet1!$B$4:$B$54</c:f>
              <c:numCache>
                <c:formatCode>General</c:formatCode>
                <c:ptCount val="50"/>
                <c:pt idx="0">
                  <c:v>88</c:v>
                </c:pt>
                <c:pt idx="1">
                  <c:v>87</c:v>
                </c:pt>
                <c:pt idx="2">
                  <c:v>97</c:v>
                </c:pt>
                <c:pt idx="3">
                  <c:v>79</c:v>
                </c:pt>
                <c:pt idx="4">
                  <c:v>98</c:v>
                </c:pt>
                <c:pt idx="5">
                  <c:v>81</c:v>
                </c:pt>
                <c:pt idx="6">
                  <c:v>81</c:v>
                </c:pt>
                <c:pt idx="7">
                  <c:v>93</c:v>
                </c:pt>
                <c:pt idx="8">
                  <c:v>67</c:v>
                </c:pt>
                <c:pt idx="9">
                  <c:v>74</c:v>
                </c:pt>
                <c:pt idx="10">
                  <c:v>93</c:v>
                </c:pt>
                <c:pt idx="11">
                  <c:v>93</c:v>
                </c:pt>
                <c:pt idx="12">
                  <c:v>97</c:v>
                </c:pt>
                <c:pt idx="13">
                  <c:v>80</c:v>
                </c:pt>
                <c:pt idx="14">
                  <c:v>88</c:v>
                </c:pt>
                <c:pt idx="15">
                  <c:v>66</c:v>
                </c:pt>
                <c:pt idx="16">
                  <c:v>78</c:v>
                </c:pt>
                <c:pt idx="17">
                  <c:v>82</c:v>
                </c:pt>
                <c:pt idx="18">
                  <c:v>77</c:v>
                </c:pt>
                <c:pt idx="19">
                  <c:v>90</c:v>
                </c:pt>
                <c:pt idx="20">
                  <c:v>66</c:v>
                </c:pt>
                <c:pt idx="21">
                  <c:v>75</c:v>
                </c:pt>
                <c:pt idx="22">
                  <c:v>71</c:v>
                </c:pt>
                <c:pt idx="23">
                  <c:v>67</c:v>
                </c:pt>
                <c:pt idx="24">
                  <c:v>68</c:v>
                </c:pt>
                <c:pt idx="25">
                  <c:v>72</c:v>
                </c:pt>
                <c:pt idx="26">
                  <c:v>72</c:v>
                </c:pt>
                <c:pt idx="27">
                  <c:v>89</c:v>
                </c:pt>
                <c:pt idx="28">
                  <c:v>92</c:v>
                </c:pt>
                <c:pt idx="29">
                  <c:v>66</c:v>
                </c:pt>
                <c:pt idx="30">
                  <c:v>73</c:v>
                </c:pt>
                <c:pt idx="31">
                  <c:v>98</c:v>
                </c:pt>
                <c:pt idx="32">
                  <c:v>75</c:v>
                </c:pt>
                <c:pt idx="33">
                  <c:v>98</c:v>
                </c:pt>
                <c:pt idx="34">
                  <c:v>82</c:v>
                </c:pt>
                <c:pt idx="35">
                  <c:v>84</c:v>
                </c:pt>
                <c:pt idx="36">
                  <c:v>86</c:v>
                </c:pt>
                <c:pt idx="37">
                  <c:v>85</c:v>
                </c:pt>
                <c:pt idx="38">
                  <c:v>77</c:v>
                </c:pt>
                <c:pt idx="39">
                  <c:v>66</c:v>
                </c:pt>
                <c:pt idx="40">
                  <c:v>80</c:v>
                </c:pt>
                <c:pt idx="41">
                  <c:v>98</c:v>
                </c:pt>
                <c:pt idx="42">
                  <c:v>95</c:v>
                </c:pt>
                <c:pt idx="43">
                  <c:v>85</c:v>
                </c:pt>
                <c:pt idx="44">
                  <c:v>78</c:v>
                </c:pt>
                <c:pt idx="45">
                  <c:v>70</c:v>
                </c:pt>
                <c:pt idx="46">
                  <c:v>70</c:v>
                </c:pt>
                <c:pt idx="47">
                  <c:v>77</c:v>
                </c:pt>
                <c:pt idx="48">
                  <c:v>96</c:v>
                </c:pt>
                <c:pt idx="49">
                  <c:v>87</c:v>
                </c:pt>
              </c:numCache>
            </c:numRef>
          </c:val>
          <c:extLst>
            <c:ext xmlns:c16="http://schemas.microsoft.com/office/drawing/2014/chart" uri="{C3380CC4-5D6E-409C-BE32-E72D297353CC}">
              <c16:uniqueId val="{00000000-7D00-42A1-95DD-C279AFD27609}"/>
            </c:ext>
          </c:extLst>
        </c:ser>
        <c:dLbls>
          <c:showLegendKey val="0"/>
          <c:showVal val="0"/>
          <c:showCatName val="0"/>
          <c:showSerName val="0"/>
          <c:showPercent val="0"/>
          <c:showBubbleSize val="0"/>
        </c:dLbls>
        <c:gapWidth val="219"/>
        <c:overlap val="-27"/>
        <c:axId val="1098750208"/>
        <c:axId val="1098751168"/>
      </c:barChart>
      <c:catAx>
        <c:axId val="109875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51168"/>
        <c:crosses val="autoZero"/>
        <c:auto val="1"/>
        <c:lblAlgn val="ctr"/>
        <c:lblOffset val="100"/>
        <c:noMultiLvlLbl val="0"/>
      </c:catAx>
      <c:valAx>
        <c:axId val="109875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5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average gpa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c:f>
              <c:strCache>
                <c:ptCount val="1"/>
                <c:pt idx="0">
                  <c:v>Total</c:v>
                </c:pt>
              </c:strCache>
            </c:strRef>
          </c:tx>
          <c:spPr>
            <a:solidFill>
              <a:schemeClr val="accent1"/>
            </a:solidFill>
            <a:ln>
              <a:noFill/>
            </a:ln>
            <a:effectLst/>
          </c:spPr>
          <c:invertIfNegative val="0"/>
          <c:cat>
            <c:strRef>
              <c:f>Sheet1!$D$4:$D$10</c:f>
              <c:strCache>
                <c:ptCount val="6"/>
                <c:pt idx="0">
                  <c:v>CIVIL</c:v>
                </c:pt>
                <c:pt idx="1">
                  <c:v>CSE</c:v>
                </c:pt>
                <c:pt idx="2">
                  <c:v>ECE</c:v>
                </c:pt>
                <c:pt idx="3">
                  <c:v>EEE</c:v>
                </c:pt>
                <c:pt idx="4">
                  <c:v>MECHANICAL</c:v>
                </c:pt>
                <c:pt idx="5">
                  <c:v>(blank)</c:v>
                </c:pt>
              </c:strCache>
            </c:strRef>
          </c:cat>
          <c:val>
            <c:numRef>
              <c:f>Sheet1!$E$4:$E$10</c:f>
              <c:numCache>
                <c:formatCode>General</c:formatCode>
                <c:ptCount val="6"/>
                <c:pt idx="0">
                  <c:v>3.1666666666666665</c:v>
                </c:pt>
                <c:pt idx="1">
                  <c:v>3.4090909090909092</c:v>
                </c:pt>
                <c:pt idx="2">
                  <c:v>3.4615384615384617</c:v>
                </c:pt>
                <c:pt idx="3">
                  <c:v>3.5</c:v>
                </c:pt>
                <c:pt idx="4">
                  <c:v>3.5</c:v>
                </c:pt>
              </c:numCache>
            </c:numRef>
          </c:val>
          <c:extLst>
            <c:ext xmlns:c16="http://schemas.microsoft.com/office/drawing/2014/chart" uri="{C3380CC4-5D6E-409C-BE32-E72D297353CC}">
              <c16:uniqueId val="{00000000-1ED6-4646-9CC4-01F3340187B2}"/>
            </c:ext>
          </c:extLst>
        </c:ser>
        <c:dLbls>
          <c:showLegendKey val="0"/>
          <c:showVal val="0"/>
          <c:showCatName val="0"/>
          <c:showSerName val="0"/>
          <c:showPercent val="0"/>
          <c:showBubbleSize val="0"/>
        </c:dLbls>
        <c:gapWidth val="150"/>
        <c:overlap val="100"/>
        <c:axId val="1202821472"/>
        <c:axId val="1103486960"/>
      </c:barChart>
      <c:catAx>
        <c:axId val="12028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86960"/>
        <c:crosses val="autoZero"/>
        <c:auto val="1"/>
        <c:lblAlgn val="ctr"/>
        <c:lblOffset val="100"/>
        <c:noMultiLvlLbl val="0"/>
      </c:catAx>
      <c:valAx>
        <c:axId val="110348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16-4FA3-8308-5046D7EF9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16-4FA3-8308-5046D7EF9338}"/>
              </c:ext>
            </c:extLst>
          </c:dPt>
          <c:cat>
            <c:strRef>
              <c:f>Sheet1!$G$4:$G$6</c:f>
              <c:strCache>
                <c:ptCount val="2"/>
                <c:pt idx="0">
                  <c:v>Female</c:v>
                </c:pt>
                <c:pt idx="1">
                  <c:v>Male</c:v>
                </c:pt>
              </c:strCache>
            </c:strRef>
          </c:cat>
          <c:val>
            <c:numRef>
              <c:f>Sheet1!$H$4:$H$6</c:f>
              <c:numCache>
                <c:formatCode>General</c:formatCode>
                <c:ptCount val="2"/>
                <c:pt idx="0">
                  <c:v>20</c:v>
                </c:pt>
                <c:pt idx="1">
                  <c:v>30</c:v>
                </c:pt>
              </c:numCache>
            </c:numRef>
          </c:val>
          <c:extLst>
            <c:ext xmlns:c16="http://schemas.microsoft.com/office/drawing/2014/chart" uri="{C3380CC4-5D6E-409C-BE32-E72D297353CC}">
              <c16:uniqueId val="{00000004-8C16-4FA3-8308-5046D7EF933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Sheet1!$K$3</c:f>
              <c:strCache>
                <c:ptCount val="1"/>
                <c:pt idx="0">
                  <c:v>Total</c:v>
                </c:pt>
              </c:strCache>
            </c:strRef>
          </c:tx>
          <c:spPr>
            <a:solidFill>
              <a:schemeClr val="accent1"/>
            </a:solidFill>
            <a:ln>
              <a:noFill/>
            </a:ln>
            <a:effectLst/>
            <a:sp3d/>
          </c:spPr>
          <c:invertIfNegative val="0"/>
          <c:cat>
            <c:strRef>
              <c:f>Sheet1!$J$4:$J$10</c:f>
              <c:strCache>
                <c:ptCount val="6"/>
                <c:pt idx="0">
                  <c:v>CIVIL</c:v>
                </c:pt>
                <c:pt idx="1">
                  <c:v>CSE</c:v>
                </c:pt>
                <c:pt idx="2">
                  <c:v>ECE</c:v>
                </c:pt>
                <c:pt idx="3">
                  <c:v>EEE</c:v>
                </c:pt>
                <c:pt idx="4">
                  <c:v>MECHANICAL</c:v>
                </c:pt>
                <c:pt idx="5">
                  <c:v>(blank)</c:v>
                </c:pt>
              </c:strCache>
            </c:strRef>
          </c:cat>
          <c:val>
            <c:numRef>
              <c:f>Sheet1!$K$4:$K$10</c:f>
              <c:numCache>
                <c:formatCode>General</c:formatCode>
                <c:ptCount val="6"/>
                <c:pt idx="0">
                  <c:v>78.166666666666671</c:v>
                </c:pt>
                <c:pt idx="1">
                  <c:v>81.36363636363636</c:v>
                </c:pt>
                <c:pt idx="2">
                  <c:v>82.92307692307692</c:v>
                </c:pt>
                <c:pt idx="3">
                  <c:v>78.2</c:v>
                </c:pt>
                <c:pt idx="4">
                  <c:v>86</c:v>
                </c:pt>
              </c:numCache>
            </c:numRef>
          </c:val>
          <c:extLst>
            <c:ext xmlns:c16="http://schemas.microsoft.com/office/drawing/2014/chart" uri="{C3380CC4-5D6E-409C-BE32-E72D297353CC}">
              <c16:uniqueId val="{00000000-8560-4EB8-9E02-C1AD024DF144}"/>
            </c:ext>
          </c:extLst>
        </c:ser>
        <c:dLbls>
          <c:showLegendKey val="0"/>
          <c:showVal val="0"/>
          <c:showCatName val="0"/>
          <c:showSerName val="0"/>
          <c:showPercent val="0"/>
          <c:showBubbleSize val="0"/>
        </c:dLbls>
        <c:gapWidth val="150"/>
        <c:shape val="box"/>
        <c:axId val="1377110704"/>
        <c:axId val="1377105424"/>
        <c:axId val="0"/>
      </c:bar3DChart>
      <c:catAx>
        <c:axId val="137711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05424"/>
        <c:crosses val="autoZero"/>
        <c:auto val="1"/>
        <c:lblAlgn val="ctr"/>
        <c:lblOffset val="100"/>
        <c:noMultiLvlLbl val="0"/>
      </c:catAx>
      <c:valAx>
        <c:axId val="137710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1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487680</xdr:colOff>
      <xdr:row>10</xdr:row>
      <xdr:rowOff>26670</xdr:rowOff>
    </xdr:from>
    <xdr:to>
      <xdr:col>7</xdr:col>
      <xdr:colOff>1249680</xdr:colOff>
      <xdr:row>25</xdr:row>
      <xdr:rowOff>26670</xdr:rowOff>
    </xdr:to>
    <xdr:graphicFrame macro="">
      <xdr:nvGraphicFramePr>
        <xdr:cNvPr id="2" name="Chart 1">
          <a:extLst>
            <a:ext uri="{FF2B5EF4-FFF2-40B4-BE49-F238E27FC236}">
              <a16:creationId xmlns:a16="http://schemas.microsoft.com/office/drawing/2014/main" id="{DA9706B2-1203-AFE4-B42F-BFEB7EE35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480060</xdr:colOff>
      <xdr:row>25</xdr:row>
      <xdr:rowOff>87630</xdr:rowOff>
    </xdr:from>
    <xdr:to>
      <xdr:col>8</xdr:col>
      <xdr:colOff>15240</xdr:colOff>
      <xdr:row>40</xdr:row>
      <xdr:rowOff>87630</xdr:rowOff>
    </xdr:to>
    <xdr:graphicFrame macro="">
      <xdr:nvGraphicFramePr>
        <xdr:cNvPr id="5" name="Chart 4">
          <a:extLst>
            <a:ext uri="{FF2B5EF4-FFF2-40B4-BE49-F238E27FC236}">
              <a16:creationId xmlns:a16="http://schemas.microsoft.com/office/drawing/2014/main" id="{E04C5302-1A48-0C5A-B474-A6F17880B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40</xdr:row>
      <xdr:rowOff>179070</xdr:rowOff>
    </xdr:from>
    <xdr:to>
      <xdr:col>8</xdr:col>
      <xdr:colOff>15240</xdr:colOff>
      <xdr:row>55</xdr:row>
      <xdr:rowOff>179070</xdr:rowOff>
    </xdr:to>
    <xdr:graphicFrame macro="">
      <xdr:nvGraphicFramePr>
        <xdr:cNvPr id="6" name="Chart 5">
          <a:extLst>
            <a:ext uri="{FF2B5EF4-FFF2-40B4-BE49-F238E27FC236}">
              <a16:creationId xmlns:a16="http://schemas.microsoft.com/office/drawing/2014/main" id="{E69624F1-2059-9455-D1A5-581361F09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xdr:colOff>
      <xdr:row>9</xdr:row>
      <xdr:rowOff>148590</xdr:rowOff>
    </xdr:from>
    <xdr:to>
      <xdr:col>13</xdr:col>
      <xdr:colOff>30480</xdr:colOff>
      <xdr:row>24</xdr:row>
      <xdr:rowOff>148590</xdr:rowOff>
    </xdr:to>
    <xdr:graphicFrame macro="">
      <xdr:nvGraphicFramePr>
        <xdr:cNvPr id="7" name="Chart 6">
          <a:extLst>
            <a:ext uri="{FF2B5EF4-FFF2-40B4-BE49-F238E27FC236}">
              <a16:creationId xmlns:a16="http://schemas.microsoft.com/office/drawing/2014/main" id="{7B37D0A5-C203-8D72-5CC1-A60E2C52A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579120</xdr:colOff>
      <xdr:row>33</xdr:row>
      <xdr:rowOff>7620</xdr:rowOff>
    </xdr:from>
    <xdr:to>
      <xdr:col>12</xdr:col>
      <xdr:colOff>129540</xdr:colOff>
      <xdr:row>46</xdr:row>
      <xdr:rowOff>97155</xdr:rowOff>
    </xdr:to>
    <mc:AlternateContent xmlns:mc="http://schemas.openxmlformats.org/markup-compatibility/2006">
      <mc:Choice xmlns:a14="http://schemas.microsoft.com/office/drawing/2010/main" Requires="a14">
        <xdr:graphicFrame macro="">
          <xdr:nvGraphicFramePr>
            <xdr:cNvPr id="3" name="Student_ID">
              <a:extLst>
                <a:ext uri="{FF2B5EF4-FFF2-40B4-BE49-F238E27FC236}">
                  <a16:creationId xmlns:a16="http://schemas.microsoft.com/office/drawing/2014/main" id="{DD18B489-05C5-AE7C-AA11-58543B8A6BB4}"/>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dr:sp macro="" textlink="">
          <xdr:nvSpPr>
            <xdr:cNvPr id="0" name=""/>
            <xdr:cNvSpPr>
              <a:spLocks noTextEdit="1"/>
            </xdr:cNvSpPr>
          </xdr:nvSpPr>
          <xdr:spPr>
            <a:xfrm>
              <a:off x="9448800" y="6042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35</xdr:row>
      <xdr:rowOff>15240</xdr:rowOff>
    </xdr:from>
    <xdr:to>
      <xdr:col>13</xdr:col>
      <xdr:colOff>594360</xdr:colOff>
      <xdr:row>48</xdr:row>
      <xdr:rowOff>104775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09E7E60F-99CB-E495-FF22-0BCDB40339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330940" y="6416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31</xdr:row>
      <xdr:rowOff>22860</xdr:rowOff>
    </xdr:from>
    <xdr:to>
      <xdr:col>10</xdr:col>
      <xdr:colOff>960120</xdr:colOff>
      <xdr:row>44</xdr:row>
      <xdr:rowOff>112395</xdr:rowOff>
    </xdr:to>
    <mc:AlternateContent xmlns:mc="http://schemas.openxmlformats.org/markup-compatibility/2006">
      <mc:Choice xmlns:a14="http://schemas.microsoft.com/office/drawing/2010/main" Requires="a14">
        <xdr:graphicFrame macro="">
          <xdr:nvGraphicFramePr>
            <xdr:cNvPr id="8" name="Attendance_%">
              <a:extLst>
                <a:ext uri="{FF2B5EF4-FFF2-40B4-BE49-F238E27FC236}">
                  <a16:creationId xmlns:a16="http://schemas.microsoft.com/office/drawing/2014/main" id="{B1FC1128-3E7F-A4B9-3B54-A45093320E8B}"/>
                </a:ext>
              </a:extLst>
            </xdr:cNvPr>
            <xdr:cNvGraphicFramePr/>
          </xdr:nvGraphicFramePr>
          <xdr:xfrm>
            <a:off x="0" y="0"/>
            <a:ext cx="0" cy="0"/>
          </xdr:xfrm>
          <a:graphic>
            <a:graphicData uri="http://schemas.microsoft.com/office/drawing/2010/slicer">
              <sle:slicer xmlns:sle="http://schemas.microsoft.com/office/drawing/2010/slicer" name="Attendance_%"/>
            </a:graphicData>
          </a:graphic>
        </xdr:graphicFrame>
      </mc:Choice>
      <mc:Fallback>
        <xdr:sp macro="" textlink="">
          <xdr:nvSpPr>
            <xdr:cNvPr id="0" name=""/>
            <xdr:cNvSpPr>
              <a:spLocks noTextEdit="1"/>
            </xdr:cNvSpPr>
          </xdr:nvSpPr>
          <xdr:spPr>
            <a:xfrm>
              <a:off x="8001000" y="569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45720</xdr:rowOff>
    </xdr:from>
    <xdr:to>
      <xdr:col>17</xdr:col>
      <xdr:colOff>601980</xdr:colOff>
      <xdr:row>4</xdr:row>
      <xdr:rowOff>129540</xdr:rowOff>
    </xdr:to>
    <xdr:sp macro="" textlink="">
      <xdr:nvSpPr>
        <xdr:cNvPr id="2" name="Rectangle: Rounded Corners 1">
          <a:extLst>
            <a:ext uri="{FF2B5EF4-FFF2-40B4-BE49-F238E27FC236}">
              <a16:creationId xmlns:a16="http://schemas.microsoft.com/office/drawing/2014/main" id="{77F39EB1-81A3-767C-BC98-BD337C6A9EA7}"/>
            </a:ext>
          </a:extLst>
        </xdr:cNvPr>
        <xdr:cNvSpPr/>
      </xdr:nvSpPr>
      <xdr:spPr>
        <a:xfrm>
          <a:off x="15240" y="45720"/>
          <a:ext cx="10927080" cy="8153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274320</xdr:colOff>
      <xdr:row>0</xdr:row>
      <xdr:rowOff>175260</xdr:rowOff>
    </xdr:from>
    <xdr:to>
      <xdr:col>13</xdr:col>
      <xdr:colOff>259080</xdr:colOff>
      <xdr:row>3</xdr:row>
      <xdr:rowOff>137160</xdr:rowOff>
    </xdr:to>
    <xdr:sp macro="" textlink="">
      <xdr:nvSpPr>
        <xdr:cNvPr id="3" name="TextBox 2">
          <a:extLst>
            <a:ext uri="{FF2B5EF4-FFF2-40B4-BE49-F238E27FC236}">
              <a16:creationId xmlns:a16="http://schemas.microsoft.com/office/drawing/2014/main" id="{B279010B-D1C5-8715-A0AE-C2AA4FC3B690}"/>
            </a:ext>
          </a:extLst>
        </xdr:cNvPr>
        <xdr:cNvSpPr txBox="1"/>
      </xdr:nvSpPr>
      <xdr:spPr>
        <a:xfrm>
          <a:off x="3299460" y="175260"/>
          <a:ext cx="4861560" cy="51054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1"/>
              </a:solidFill>
            </a:rPr>
            <a:t>student</a:t>
          </a:r>
          <a:r>
            <a:rPr lang="en-IN" sz="2800" baseline="0">
              <a:solidFill>
                <a:schemeClr val="bg1"/>
              </a:solidFill>
            </a:rPr>
            <a:t> report dashboard</a:t>
          </a:r>
          <a:endParaRPr lang="en-IN" sz="2800">
            <a:solidFill>
              <a:schemeClr val="bg1"/>
            </a:solidFill>
          </a:endParaRPr>
        </a:p>
      </xdr:txBody>
    </xdr:sp>
    <xdr:clientData/>
  </xdr:twoCellAnchor>
  <xdr:twoCellAnchor>
    <xdr:from>
      <xdr:col>0</xdr:col>
      <xdr:colOff>83820</xdr:colOff>
      <xdr:row>5</xdr:row>
      <xdr:rowOff>137160</xdr:rowOff>
    </xdr:from>
    <xdr:to>
      <xdr:col>3</xdr:col>
      <xdr:colOff>0</xdr:colOff>
      <xdr:row>10</xdr:row>
      <xdr:rowOff>68580</xdr:rowOff>
    </xdr:to>
    <xdr:sp macro="" textlink="">
      <xdr:nvSpPr>
        <xdr:cNvPr id="4" name="Rectangle: Rounded Corners 3">
          <a:extLst>
            <a:ext uri="{FF2B5EF4-FFF2-40B4-BE49-F238E27FC236}">
              <a16:creationId xmlns:a16="http://schemas.microsoft.com/office/drawing/2014/main" id="{2E9E1395-27F7-BF25-C894-4864E33A31A9}"/>
            </a:ext>
          </a:extLst>
        </xdr:cNvPr>
        <xdr:cNvSpPr/>
      </xdr:nvSpPr>
      <xdr:spPr>
        <a:xfrm>
          <a:off x="83820" y="105156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0</xdr:col>
      <xdr:colOff>76200</xdr:colOff>
      <xdr:row>5</xdr:row>
      <xdr:rowOff>144780</xdr:rowOff>
    </xdr:from>
    <xdr:to>
      <xdr:col>1</xdr:col>
      <xdr:colOff>129540</xdr:colOff>
      <xdr:row>10</xdr:row>
      <xdr:rowOff>83820</xdr:rowOff>
    </xdr:to>
    <xdr:sp macro="" textlink="">
      <xdr:nvSpPr>
        <xdr:cNvPr id="5" name="Rectangle: Rounded Corners 4">
          <a:extLst>
            <a:ext uri="{FF2B5EF4-FFF2-40B4-BE49-F238E27FC236}">
              <a16:creationId xmlns:a16="http://schemas.microsoft.com/office/drawing/2014/main" id="{BE2BB644-8E23-B568-AF9A-7BD0E55313EC}"/>
            </a:ext>
          </a:extLst>
        </xdr:cNvPr>
        <xdr:cNvSpPr/>
      </xdr:nvSpPr>
      <xdr:spPr>
        <a:xfrm>
          <a:off x="76200" y="105918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213360</xdr:colOff>
      <xdr:row>5</xdr:row>
      <xdr:rowOff>167640</xdr:rowOff>
    </xdr:from>
    <xdr:to>
      <xdr:col>2</xdr:col>
      <xdr:colOff>525780</xdr:colOff>
      <xdr:row>10</xdr:row>
      <xdr:rowOff>76200</xdr:rowOff>
    </xdr:to>
    <xdr:sp macro="" textlink="">
      <xdr:nvSpPr>
        <xdr:cNvPr id="6" name="TextBox 5">
          <a:extLst>
            <a:ext uri="{FF2B5EF4-FFF2-40B4-BE49-F238E27FC236}">
              <a16:creationId xmlns:a16="http://schemas.microsoft.com/office/drawing/2014/main" id="{611356B6-3AB2-FE58-E060-7B27E124D9AA}"/>
            </a:ext>
          </a:extLst>
        </xdr:cNvPr>
        <xdr:cNvSpPr txBox="1"/>
      </xdr:nvSpPr>
      <xdr:spPr>
        <a:xfrm>
          <a:off x="822960" y="108204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ece</a:t>
          </a:r>
        </a:p>
        <a:p>
          <a:r>
            <a:rPr lang="en-IN" sz="1200" b="1">
              <a:solidFill>
                <a:schemeClr val="bg1"/>
              </a:solidFill>
            </a:rPr>
            <a:t>=</a:t>
          </a:r>
          <a:r>
            <a:rPr lang="en-IN" sz="1100" b="1" i="0" u="none" strike="noStrike">
              <a:solidFill>
                <a:schemeClr val="bg1"/>
              </a:solidFill>
              <a:effectLst/>
              <a:latin typeface="+mn-lt"/>
              <a:ea typeface="+mn-ea"/>
              <a:cs typeface="+mn-cs"/>
            </a:rPr>
            <a:t>3.461538462</a:t>
          </a:r>
          <a:r>
            <a:rPr lang="en-IN" sz="1200" b="1">
              <a:solidFill>
                <a:schemeClr val="bg1"/>
              </a:solidFill>
            </a:rPr>
            <a:t> </a:t>
          </a:r>
        </a:p>
      </xdr:txBody>
    </xdr:sp>
    <xdr:clientData/>
  </xdr:twoCellAnchor>
  <xdr:twoCellAnchor>
    <xdr:from>
      <xdr:col>3</xdr:col>
      <xdr:colOff>22860</xdr:colOff>
      <xdr:row>5</xdr:row>
      <xdr:rowOff>106680</xdr:rowOff>
    </xdr:from>
    <xdr:to>
      <xdr:col>5</xdr:col>
      <xdr:colOff>548640</xdr:colOff>
      <xdr:row>10</xdr:row>
      <xdr:rowOff>38100</xdr:rowOff>
    </xdr:to>
    <xdr:sp macro="" textlink="">
      <xdr:nvSpPr>
        <xdr:cNvPr id="7" name="Rectangle: Rounded Corners 6">
          <a:extLst>
            <a:ext uri="{FF2B5EF4-FFF2-40B4-BE49-F238E27FC236}">
              <a16:creationId xmlns:a16="http://schemas.microsoft.com/office/drawing/2014/main" id="{CA487B47-4CB4-4146-B825-684670CDD398}"/>
            </a:ext>
          </a:extLst>
        </xdr:cNvPr>
        <xdr:cNvSpPr/>
      </xdr:nvSpPr>
      <xdr:spPr>
        <a:xfrm>
          <a:off x="1851660" y="102108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3</xdr:col>
      <xdr:colOff>15240</xdr:colOff>
      <xdr:row>5</xdr:row>
      <xdr:rowOff>114300</xdr:rowOff>
    </xdr:from>
    <xdr:to>
      <xdr:col>4</xdr:col>
      <xdr:colOff>68580</xdr:colOff>
      <xdr:row>10</xdr:row>
      <xdr:rowOff>53340</xdr:rowOff>
    </xdr:to>
    <xdr:sp macro="" textlink="">
      <xdr:nvSpPr>
        <xdr:cNvPr id="8" name="Rectangle: Rounded Corners 7">
          <a:extLst>
            <a:ext uri="{FF2B5EF4-FFF2-40B4-BE49-F238E27FC236}">
              <a16:creationId xmlns:a16="http://schemas.microsoft.com/office/drawing/2014/main" id="{78141E1D-617D-4242-8050-DA5246B83843}"/>
            </a:ext>
          </a:extLst>
        </xdr:cNvPr>
        <xdr:cNvSpPr/>
      </xdr:nvSpPr>
      <xdr:spPr>
        <a:xfrm>
          <a:off x="1844040" y="102870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5</xdr:row>
      <xdr:rowOff>137160</xdr:rowOff>
    </xdr:from>
    <xdr:to>
      <xdr:col>5</xdr:col>
      <xdr:colOff>464820</xdr:colOff>
      <xdr:row>10</xdr:row>
      <xdr:rowOff>45720</xdr:rowOff>
    </xdr:to>
    <xdr:sp macro="" textlink="">
      <xdr:nvSpPr>
        <xdr:cNvPr id="9" name="TextBox 8">
          <a:extLst>
            <a:ext uri="{FF2B5EF4-FFF2-40B4-BE49-F238E27FC236}">
              <a16:creationId xmlns:a16="http://schemas.microsoft.com/office/drawing/2014/main" id="{33A7FB07-4964-4BBF-BC36-C395B0EE570F}"/>
            </a:ext>
          </a:extLst>
        </xdr:cNvPr>
        <xdr:cNvSpPr txBox="1"/>
      </xdr:nvSpPr>
      <xdr:spPr>
        <a:xfrm>
          <a:off x="2590800" y="105156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cse</a:t>
          </a:r>
        </a:p>
        <a:p>
          <a:r>
            <a:rPr lang="en-IN" sz="1200" b="1">
              <a:solidFill>
                <a:schemeClr val="bg1"/>
              </a:solidFill>
            </a:rPr>
            <a:t>=</a:t>
          </a:r>
          <a:r>
            <a:rPr lang="en-IN" sz="1100" b="0" i="0" u="none" strike="noStrike">
              <a:solidFill>
                <a:schemeClr val="bg1"/>
              </a:solidFill>
              <a:effectLst/>
              <a:latin typeface="+mn-lt"/>
              <a:ea typeface="+mn-ea"/>
              <a:cs typeface="+mn-cs"/>
            </a:rPr>
            <a:t>3.4090909</a:t>
          </a:r>
          <a:r>
            <a:rPr lang="en-IN" sz="1200" b="1">
              <a:solidFill>
                <a:schemeClr val="bg1"/>
              </a:solidFill>
            </a:rPr>
            <a:t> </a:t>
          </a:r>
        </a:p>
      </xdr:txBody>
    </xdr:sp>
    <xdr:clientData/>
  </xdr:twoCellAnchor>
  <xdr:twoCellAnchor>
    <xdr:from>
      <xdr:col>5</xdr:col>
      <xdr:colOff>579120</xdr:colOff>
      <xdr:row>5</xdr:row>
      <xdr:rowOff>99060</xdr:rowOff>
    </xdr:from>
    <xdr:to>
      <xdr:col>8</xdr:col>
      <xdr:colOff>495300</xdr:colOff>
      <xdr:row>10</xdr:row>
      <xdr:rowOff>30480</xdr:rowOff>
    </xdr:to>
    <xdr:sp macro="" textlink="">
      <xdr:nvSpPr>
        <xdr:cNvPr id="10" name="Rectangle: Rounded Corners 9">
          <a:extLst>
            <a:ext uri="{FF2B5EF4-FFF2-40B4-BE49-F238E27FC236}">
              <a16:creationId xmlns:a16="http://schemas.microsoft.com/office/drawing/2014/main" id="{A7E3831F-14F4-41F8-9F4A-F110604899AC}"/>
            </a:ext>
          </a:extLst>
        </xdr:cNvPr>
        <xdr:cNvSpPr/>
      </xdr:nvSpPr>
      <xdr:spPr>
        <a:xfrm>
          <a:off x="3627120" y="101346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5</xdr:col>
      <xdr:colOff>579120</xdr:colOff>
      <xdr:row>5</xdr:row>
      <xdr:rowOff>106680</xdr:rowOff>
    </xdr:from>
    <xdr:to>
      <xdr:col>7</xdr:col>
      <xdr:colOff>22860</xdr:colOff>
      <xdr:row>10</xdr:row>
      <xdr:rowOff>45720</xdr:rowOff>
    </xdr:to>
    <xdr:sp macro="" textlink="">
      <xdr:nvSpPr>
        <xdr:cNvPr id="11" name="Rectangle: Rounded Corners 10">
          <a:extLst>
            <a:ext uri="{FF2B5EF4-FFF2-40B4-BE49-F238E27FC236}">
              <a16:creationId xmlns:a16="http://schemas.microsoft.com/office/drawing/2014/main" id="{13E037A7-D696-4BF0-97FA-646C748B5A70}"/>
            </a:ext>
          </a:extLst>
        </xdr:cNvPr>
        <xdr:cNvSpPr/>
      </xdr:nvSpPr>
      <xdr:spPr>
        <a:xfrm>
          <a:off x="3627120" y="102108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106680</xdr:colOff>
      <xdr:row>5</xdr:row>
      <xdr:rowOff>129540</xdr:rowOff>
    </xdr:from>
    <xdr:to>
      <xdr:col>8</xdr:col>
      <xdr:colOff>419100</xdr:colOff>
      <xdr:row>10</xdr:row>
      <xdr:rowOff>38100</xdr:rowOff>
    </xdr:to>
    <xdr:sp macro="" textlink="">
      <xdr:nvSpPr>
        <xdr:cNvPr id="12" name="TextBox 11">
          <a:extLst>
            <a:ext uri="{FF2B5EF4-FFF2-40B4-BE49-F238E27FC236}">
              <a16:creationId xmlns:a16="http://schemas.microsoft.com/office/drawing/2014/main" id="{02EDA6D6-D8E4-4DB2-99BD-BCDCB0284A83}"/>
            </a:ext>
          </a:extLst>
        </xdr:cNvPr>
        <xdr:cNvSpPr txBox="1"/>
      </xdr:nvSpPr>
      <xdr:spPr>
        <a:xfrm>
          <a:off x="4373880" y="104394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civil</a:t>
          </a:r>
        </a:p>
        <a:p>
          <a:r>
            <a:rPr lang="en-IN" sz="1200" b="1">
              <a:solidFill>
                <a:schemeClr val="bg1"/>
              </a:solidFill>
            </a:rPr>
            <a:t>=</a:t>
          </a:r>
          <a:r>
            <a:rPr lang="en-IN" sz="1100" b="0" i="0" u="none" strike="noStrike">
              <a:solidFill>
                <a:schemeClr val="bg1"/>
              </a:solidFill>
              <a:effectLst/>
              <a:latin typeface="+mn-lt"/>
              <a:ea typeface="+mn-ea"/>
              <a:cs typeface="+mn-cs"/>
            </a:rPr>
            <a:t>3.1666666</a:t>
          </a:r>
          <a:r>
            <a:rPr lang="en-IN" sz="1200">
              <a:solidFill>
                <a:schemeClr val="bg1"/>
              </a:solidFill>
            </a:rPr>
            <a:t> </a:t>
          </a:r>
          <a:endParaRPr lang="en-IN" sz="1200" b="1">
            <a:solidFill>
              <a:schemeClr val="bg1"/>
            </a:solidFill>
          </a:endParaRPr>
        </a:p>
      </xdr:txBody>
    </xdr:sp>
    <xdr:clientData/>
  </xdr:twoCellAnchor>
  <xdr:twoCellAnchor>
    <xdr:from>
      <xdr:col>8</xdr:col>
      <xdr:colOff>525780</xdr:colOff>
      <xdr:row>5</xdr:row>
      <xdr:rowOff>106680</xdr:rowOff>
    </xdr:from>
    <xdr:to>
      <xdr:col>11</xdr:col>
      <xdr:colOff>441960</xdr:colOff>
      <xdr:row>10</xdr:row>
      <xdr:rowOff>38100</xdr:rowOff>
    </xdr:to>
    <xdr:sp macro="" textlink="">
      <xdr:nvSpPr>
        <xdr:cNvPr id="13" name="Rectangle: Rounded Corners 12">
          <a:extLst>
            <a:ext uri="{FF2B5EF4-FFF2-40B4-BE49-F238E27FC236}">
              <a16:creationId xmlns:a16="http://schemas.microsoft.com/office/drawing/2014/main" id="{3362CC86-C02F-4A15-A44E-B074A9141BED}"/>
            </a:ext>
          </a:extLst>
        </xdr:cNvPr>
        <xdr:cNvSpPr/>
      </xdr:nvSpPr>
      <xdr:spPr>
        <a:xfrm>
          <a:off x="5402580" y="102108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8</xdr:col>
      <xdr:colOff>518160</xdr:colOff>
      <xdr:row>5</xdr:row>
      <xdr:rowOff>114300</xdr:rowOff>
    </xdr:from>
    <xdr:to>
      <xdr:col>9</xdr:col>
      <xdr:colOff>571500</xdr:colOff>
      <xdr:row>10</xdr:row>
      <xdr:rowOff>53340</xdr:rowOff>
    </xdr:to>
    <xdr:sp macro="" textlink="">
      <xdr:nvSpPr>
        <xdr:cNvPr id="14" name="Rectangle: Rounded Corners 13">
          <a:extLst>
            <a:ext uri="{FF2B5EF4-FFF2-40B4-BE49-F238E27FC236}">
              <a16:creationId xmlns:a16="http://schemas.microsoft.com/office/drawing/2014/main" id="{70806A6C-D12A-4BB6-B7D0-6329F4DA05ED}"/>
            </a:ext>
          </a:extLst>
        </xdr:cNvPr>
        <xdr:cNvSpPr/>
      </xdr:nvSpPr>
      <xdr:spPr>
        <a:xfrm>
          <a:off x="5394960" y="102870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xdr:colOff>
      <xdr:row>5</xdr:row>
      <xdr:rowOff>137160</xdr:rowOff>
    </xdr:from>
    <xdr:to>
      <xdr:col>11</xdr:col>
      <xdr:colOff>358140</xdr:colOff>
      <xdr:row>10</xdr:row>
      <xdr:rowOff>45720</xdr:rowOff>
    </xdr:to>
    <xdr:sp macro="" textlink="">
      <xdr:nvSpPr>
        <xdr:cNvPr id="15" name="TextBox 14">
          <a:extLst>
            <a:ext uri="{FF2B5EF4-FFF2-40B4-BE49-F238E27FC236}">
              <a16:creationId xmlns:a16="http://schemas.microsoft.com/office/drawing/2014/main" id="{23B98131-7770-4514-9F48-6A261063638F}"/>
            </a:ext>
          </a:extLst>
        </xdr:cNvPr>
        <xdr:cNvSpPr txBox="1"/>
      </xdr:nvSpPr>
      <xdr:spPr>
        <a:xfrm>
          <a:off x="6141720" y="105156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eee</a:t>
          </a:r>
        </a:p>
        <a:p>
          <a:r>
            <a:rPr lang="en-IN" sz="1200" b="1">
              <a:solidFill>
                <a:schemeClr val="bg1"/>
              </a:solidFill>
            </a:rPr>
            <a:t>=</a:t>
          </a:r>
          <a:r>
            <a:rPr lang="en-IN" sz="1100" b="0" i="0" u="none" strike="noStrike">
              <a:solidFill>
                <a:schemeClr val="bg1"/>
              </a:solidFill>
              <a:effectLst/>
              <a:latin typeface="+mn-lt"/>
              <a:ea typeface="+mn-ea"/>
              <a:cs typeface="+mn-cs"/>
            </a:rPr>
            <a:t>3.5</a:t>
          </a:r>
          <a:r>
            <a:rPr lang="en-IN" sz="1200">
              <a:solidFill>
                <a:schemeClr val="bg1"/>
              </a:solidFill>
            </a:rPr>
            <a:t> </a:t>
          </a:r>
          <a:endParaRPr lang="en-IN" sz="1200" b="1">
            <a:solidFill>
              <a:schemeClr val="bg1"/>
            </a:solidFill>
          </a:endParaRPr>
        </a:p>
      </xdr:txBody>
    </xdr:sp>
    <xdr:clientData/>
  </xdr:twoCellAnchor>
  <xdr:twoCellAnchor>
    <xdr:from>
      <xdr:col>11</xdr:col>
      <xdr:colOff>457200</xdr:colOff>
      <xdr:row>5</xdr:row>
      <xdr:rowOff>121920</xdr:rowOff>
    </xdr:from>
    <xdr:to>
      <xdr:col>14</xdr:col>
      <xdr:colOff>373380</xdr:colOff>
      <xdr:row>10</xdr:row>
      <xdr:rowOff>53340</xdr:rowOff>
    </xdr:to>
    <xdr:sp macro="" textlink="">
      <xdr:nvSpPr>
        <xdr:cNvPr id="16" name="Rectangle: Rounded Corners 15">
          <a:extLst>
            <a:ext uri="{FF2B5EF4-FFF2-40B4-BE49-F238E27FC236}">
              <a16:creationId xmlns:a16="http://schemas.microsoft.com/office/drawing/2014/main" id="{C83CE1D7-B92F-4D2F-8F15-688F5D99741D}"/>
            </a:ext>
          </a:extLst>
        </xdr:cNvPr>
        <xdr:cNvSpPr/>
      </xdr:nvSpPr>
      <xdr:spPr>
        <a:xfrm>
          <a:off x="7162800" y="103632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11</xdr:col>
      <xdr:colOff>449580</xdr:colOff>
      <xdr:row>5</xdr:row>
      <xdr:rowOff>129540</xdr:rowOff>
    </xdr:from>
    <xdr:to>
      <xdr:col>12</xdr:col>
      <xdr:colOff>502920</xdr:colOff>
      <xdr:row>10</xdr:row>
      <xdr:rowOff>68580</xdr:rowOff>
    </xdr:to>
    <xdr:sp macro="" textlink="">
      <xdr:nvSpPr>
        <xdr:cNvPr id="17" name="Rectangle: Rounded Corners 16">
          <a:extLst>
            <a:ext uri="{FF2B5EF4-FFF2-40B4-BE49-F238E27FC236}">
              <a16:creationId xmlns:a16="http://schemas.microsoft.com/office/drawing/2014/main" id="{ABE83FEC-E8BE-404C-BAAC-2D3B2002292F}"/>
            </a:ext>
          </a:extLst>
        </xdr:cNvPr>
        <xdr:cNvSpPr/>
      </xdr:nvSpPr>
      <xdr:spPr>
        <a:xfrm>
          <a:off x="7155180" y="104394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586740</xdr:colOff>
      <xdr:row>5</xdr:row>
      <xdr:rowOff>152400</xdr:rowOff>
    </xdr:from>
    <xdr:to>
      <xdr:col>14</xdr:col>
      <xdr:colOff>289560</xdr:colOff>
      <xdr:row>10</xdr:row>
      <xdr:rowOff>60960</xdr:rowOff>
    </xdr:to>
    <xdr:sp macro="" textlink="">
      <xdr:nvSpPr>
        <xdr:cNvPr id="18" name="TextBox 17">
          <a:extLst>
            <a:ext uri="{FF2B5EF4-FFF2-40B4-BE49-F238E27FC236}">
              <a16:creationId xmlns:a16="http://schemas.microsoft.com/office/drawing/2014/main" id="{CA357517-533E-492A-A24F-9DE25AE20EA8}"/>
            </a:ext>
          </a:extLst>
        </xdr:cNvPr>
        <xdr:cNvSpPr txBox="1"/>
      </xdr:nvSpPr>
      <xdr:spPr>
        <a:xfrm>
          <a:off x="7901940" y="106680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mec</a:t>
          </a:r>
        </a:p>
        <a:p>
          <a:r>
            <a:rPr lang="en-IN" sz="1200" b="1">
              <a:solidFill>
                <a:schemeClr val="bg1"/>
              </a:solidFill>
            </a:rPr>
            <a:t>=</a:t>
          </a:r>
          <a:r>
            <a:rPr lang="en-IN" sz="1100" b="0" i="0" u="none" strike="noStrike">
              <a:solidFill>
                <a:schemeClr val="bg1"/>
              </a:solidFill>
              <a:effectLst/>
              <a:latin typeface="+mn-lt"/>
              <a:ea typeface="+mn-ea"/>
              <a:cs typeface="+mn-cs"/>
            </a:rPr>
            <a:t>3.5</a:t>
          </a:r>
          <a:r>
            <a:rPr lang="en-IN" sz="1200">
              <a:solidFill>
                <a:schemeClr val="bg1"/>
              </a:solidFill>
            </a:rPr>
            <a:t> </a:t>
          </a:r>
          <a:r>
            <a:rPr lang="en-IN" sz="1200" b="1">
              <a:solidFill>
                <a:schemeClr val="bg1"/>
              </a:solidFill>
            </a:rPr>
            <a:t> </a:t>
          </a:r>
        </a:p>
      </xdr:txBody>
    </xdr:sp>
    <xdr:clientData/>
  </xdr:twoCellAnchor>
  <xdr:twoCellAnchor>
    <xdr:from>
      <xdr:col>14</xdr:col>
      <xdr:colOff>419100</xdr:colOff>
      <xdr:row>5</xdr:row>
      <xdr:rowOff>114300</xdr:rowOff>
    </xdr:from>
    <xdr:to>
      <xdr:col>17</xdr:col>
      <xdr:colOff>335280</xdr:colOff>
      <xdr:row>10</xdr:row>
      <xdr:rowOff>45720</xdr:rowOff>
    </xdr:to>
    <xdr:sp macro="" textlink="">
      <xdr:nvSpPr>
        <xdr:cNvPr id="19" name="Rectangle: Rounded Corners 18">
          <a:extLst>
            <a:ext uri="{FF2B5EF4-FFF2-40B4-BE49-F238E27FC236}">
              <a16:creationId xmlns:a16="http://schemas.microsoft.com/office/drawing/2014/main" id="{C303F15A-327C-459B-BB4F-100EA0D0129C}"/>
            </a:ext>
          </a:extLst>
        </xdr:cNvPr>
        <xdr:cNvSpPr/>
      </xdr:nvSpPr>
      <xdr:spPr>
        <a:xfrm>
          <a:off x="8953500" y="1028700"/>
          <a:ext cx="174498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xdr:from>
      <xdr:col>14</xdr:col>
      <xdr:colOff>411480</xdr:colOff>
      <xdr:row>5</xdr:row>
      <xdr:rowOff>121920</xdr:rowOff>
    </xdr:from>
    <xdr:to>
      <xdr:col>15</xdr:col>
      <xdr:colOff>464820</xdr:colOff>
      <xdr:row>10</xdr:row>
      <xdr:rowOff>60960</xdr:rowOff>
    </xdr:to>
    <xdr:sp macro="" textlink="">
      <xdr:nvSpPr>
        <xdr:cNvPr id="20" name="Rectangle: Rounded Corners 19">
          <a:extLst>
            <a:ext uri="{FF2B5EF4-FFF2-40B4-BE49-F238E27FC236}">
              <a16:creationId xmlns:a16="http://schemas.microsoft.com/office/drawing/2014/main" id="{431D2841-8413-4192-B2D0-7313D44454B4}"/>
            </a:ext>
          </a:extLst>
        </xdr:cNvPr>
        <xdr:cNvSpPr/>
      </xdr:nvSpPr>
      <xdr:spPr>
        <a:xfrm>
          <a:off x="8945880" y="1036320"/>
          <a:ext cx="662940" cy="85344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548640</xdr:colOff>
      <xdr:row>5</xdr:row>
      <xdr:rowOff>144780</xdr:rowOff>
    </xdr:from>
    <xdr:to>
      <xdr:col>17</xdr:col>
      <xdr:colOff>251460</xdr:colOff>
      <xdr:row>10</xdr:row>
      <xdr:rowOff>53340</xdr:rowOff>
    </xdr:to>
    <xdr:sp macro="" textlink="">
      <xdr:nvSpPr>
        <xdr:cNvPr id="21" name="TextBox 20">
          <a:extLst>
            <a:ext uri="{FF2B5EF4-FFF2-40B4-BE49-F238E27FC236}">
              <a16:creationId xmlns:a16="http://schemas.microsoft.com/office/drawing/2014/main" id="{D09C6956-F4FD-44A9-A80D-F9FB39E25AE5}"/>
            </a:ext>
          </a:extLst>
        </xdr:cNvPr>
        <xdr:cNvSpPr txBox="1"/>
      </xdr:nvSpPr>
      <xdr:spPr>
        <a:xfrm>
          <a:off x="9692640" y="1059180"/>
          <a:ext cx="922020" cy="8229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average gpa of ece</a:t>
          </a:r>
        </a:p>
        <a:p>
          <a:r>
            <a:rPr lang="en-IN" sz="1200" b="1">
              <a:solidFill>
                <a:schemeClr val="bg1"/>
              </a:solidFill>
            </a:rPr>
            <a:t>=</a:t>
          </a:r>
          <a:r>
            <a:rPr lang="en-IN" sz="1100" b="1" i="0" u="none" strike="noStrike">
              <a:solidFill>
                <a:schemeClr val="bg1"/>
              </a:solidFill>
              <a:effectLst/>
              <a:latin typeface="+mn-lt"/>
              <a:ea typeface="+mn-ea"/>
              <a:cs typeface="+mn-cs"/>
            </a:rPr>
            <a:t>3.461538462</a:t>
          </a:r>
          <a:r>
            <a:rPr lang="en-IN" sz="1200" b="1">
              <a:solidFill>
                <a:schemeClr val="bg1"/>
              </a:solidFill>
            </a:rPr>
            <a:t> </a:t>
          </a:r>
        </a:p>
      </xdr:txBody>
    </xdr:sp>
    <xdr:clientData/>
  </xdr:twoCellAnchor>
  <xdr:twoCellAnchor editAs="oneCell">
    <xdr:from>
      <xdr:col>0</xdr:col>
      <xdr:colOff>0</xdr:colOff>
      <xdr:row>11</xdr:row>
      <xdr:rowOff>0</xdr:rowOff>
    </xdr:from>
    <xdr:to>
      <xdr:col>3</xdr:col>
      <xdr:colOff>0</xdr:colOff>
      <xdr:row>24</xdr:row>
      <xdr:rowOff>89535</xdr:rowOff>
    </xdr:to>
    <mc:AlternateContent xmlns:mc="http://schemas.openxmlformats.org/markup-compatibility/2006" xmlns:a14="http://schemas.microsoft.com/office/drawing/2010/main">
      <mc:Choice Requires="a14">
        <xdr:graphicFrame macro="">
          <xdr:nvGraphicFramePr>
            <xdr:cNvPr id="22" name="Attendance_% 1">
              <a:extLst>
                <a:ext uri="{FF2B5EF4-FFF2-40B4-BE49-F238E27FC236}">
                  <a16:creationId xmlns:a16="http://schemas.microsoft.com/office/drawing/2014/main" id="{BF91E819-CBFB-491F-9D57-3FC5981B166C}"/>
                </a:ext>
              </a:extLst>
            </xdr:cNvPr>
            <xdr:cNvGraphicFramePr/>
          </xdr:nvGraphicFramePr>
          <xdr:xfrm>
            <a:off x="0" y="0"/>
            <a:ext cx="0" cy="0"/>
          </xdr:xfrm>
          <a:graphic>
            <a:graphicData uri="http://schemas.microsoft.com/office/drawing/2010/slicer">
              <sle:slicer xmlns:sle="http://schemas.microsoft.com/office/drawing/2010/slicer" name="Attendance_% 1"/>
            </a:graphicData>
          </a:graphic>
        </xdr:graphicFrame>
      </mc:Choice>
      <mc:Fallback xmlns="">
        <xdr:sp macro="" textlink="">
          <xdr:nvSpPr>
            <xdr:cNvPr id="0" name=""/>
            <xdr:cNvSpPr>
              <a:spLocks noTextEdit="1"/>
            </xdr:cNvSpPr>
          </xdr:nvSpPr>
          <xdr:spPr>
            <a:xfrm>
              <a:off x="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3</xdr:col>
      <xdr:colOff>0</xdr:colOff>
      <xdr:row>38</xdr:row>
      <xdr:rowOff>89535</xdr:rowOff>
    </xdr:to>
    <mc:AlternateContent xmlns:mc="http://schemas.openxmlformats.org/markup-compatibility/2006" xmlns:a14="http://schemas.microsoft.com/office/drawing/2010/main">
      <mc:Choice Requires="a14">
        <xdr:graphicFrame macro="">
          <xdr:nvGraphicFramePr>
            <xdr:cNvPr id="23" name="Department 1">
              <a:extLst>
                <a:ext uri="{FF2B5EF4-FFF2-40B4-BE49-F238E27FC236}">
                  <a16:creationId xmlns:a16="http://schemas.microsoft.com/office/drawing/2014/main" id="{659CE7FD-C25A-4686-92B1-C8102DA7B6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457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3</xdr:col>
      <xdr:colOff>0</xdr:colOff>
      <xdr:row>52</xdr:row>
      <xdr:rowOff>89535</xdr:rowOff>
    </xdr:to>
    <mc:AlternateContent xmlns:mc="http://schemas.openxmlformats.org/markup-compatibility/2006" xmlns:a14="http://schemas.microsoft.com/office/drawing/2010/main">
      <mc:Choice Requires="a14">
        <xdr:graphicFrame macro="">
          <xdr:nvGraphicFramePr>
            <xdr:cNvPr id="24" name="Student_ID 1">
              <a:extLst>
                <a:ext uri="{FF2B5EF4-FFF2-40B4-BE49-F238E27FC236}">
                  <a16:creationId xmlns:a16="http://schemas.microsoft.com/office/drawing/2014/main" id="{9915A97D-9E45-4058-9D5F-AE678EB08CDA}"/>
                </a:ext>
              </a:extLst>
            </xdr:cNvPr>
            <xdr:cNvGraphicFramePr/>
          </xdr:nvGraphicFramePr>
          <xdr:xfrm>
            <a:off x="0" y="0"/>
            <a:ext cx="0" cy="0"/>
          </xdr:xfrm>
          <a:graphic>
            <a:graphicData uri="http://schemas.microsoft.com/office/drawing/2010/slicer">
              <sle:slicer xmlns:sle="http://schemas.microsoft.com/office/drawing/2010/slicer" name="Student_ID 1"/>
            </a:graphicData>
          </a:graphic>
        </xdr:graphicFrame>
      </mc:Choice>
      <mc:Fallback xmlns="">
        <xdr:sp macro="" textlink="">
          <xdr:nvSpPr>
            <xdr:cNvPr id="0" name=""/>
            <xdr:cNvSpPr>
              <a:spLocks noTextEdit="1"/>
            </xdr:cNvSpPr>
          </xdr:nvSpPr>
          <xdr:spPr>
            <a:xfrm>
              <a:off x="0" y="713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11</xdr:row>
      <xdr:rowOff>0</xdr:rowOff>
    </xdr:from>
    <xdr:to>
      <xdr:col>10</xdr:col>
      <xdr:colOff>327660</xdr:colOff>
      <xdr:row>26</xdr:row>
      <xdr:rowOff>0</xdr:rowOff>
    </xdr:to>
    <xdr:graphicFrame macro="">
      <xdr:nvGraphicFramePr>
        <xdr:cNvPr id="25" name="Chart 24">
          <a:extLst>
            <a:ext uri="{FF2B5EF4-FFF2-40B4-BE49-F238E27FC236}">
              <a16:creationId xmlns:a16="http://schemas.microsoft.com/office/drawing/2014/main" id="{00078A9E-C19A-4CD5-9295-373C06B9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289560</xdr:colOff>
      <xdr:row>11</xdr:row>
      <xdr:rowOff>38100</xdr:rowOff>
    </xdr:from>
    <xdr:to>
      <xdr:col>17</xdr:col>
      <xdr:colOff>594360</xdr:colOff>
      <xdr:row>26</xdr:row>
      <xdr:rowOff>38100</xdr:rowOff>
    </xdr:to>
    <xdr:graphicFrame macro="">
      <xdr:nvGraphicFramePr>
        <xdr:cNvPr id="26" name="Chart 25">
          <a:extLst>
            <a:ext uri="{FF2B5EF4-FFF2-40B4-BE49-F238E27FC236}">
              <a16:creationId xmlns:a16="http://schemas.microsoft.com/office/drawing/2014/main" id="{8D4581CE-5EAF-47A8-942D-3DF6E40AF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26</xdr:row>
      <xdr:rowOff>0</xdr:rowOff>
    </xdr:from>
    <xdr:to>
      <xdr:col>10</xdr:col>
      <xdr:colOff>281940</xdr:colOff>
      <xdr:row>41</xdr:row>
      <xdr:rowOff>0</xdr:rowOff>
    </xdr:to>
    <xdr:graphicFrame macro="">
      <xdr:nvGraphicFramePr>
        <xdr:cNvPr id="27" name="Chart 26">
          <a:extLst>
            <a:ext uri="{FF2B5EF4-FFF2-40B4-BE49-F238E27FC236}">
              <a16:creationId xmlns:a16="http://schemas.microsoft.com/office/drawing/2014/main" id="{A756F2A8-E208-417C-AB5F-FA23F708B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327660</xdr:colOff>
      <xdr:row>26</xdr:row>
      <xdr:rowOff>68580</xdr:rowOff>
    </xdr:from>
    <xdr:to>
      <xdr:col>17</xdr:col>
      <xdr:colOff>579120</xdr:colOff>
      <xdr:row>41</xdr:row>
      <xdr:rowOff>68580</xdr:rowOff>
    </xdr:to>
    <xdr:graphicFrame macro="">
      <xdr:nvGraphicFramePr>
        <xdr:cNvPr id="28" name="Chart 27">
          <a:extLst>
            <a:ext uri="{FF2B5EF4-FFF2-40B4-BE49-F238E27FC236}">
              <a16:creationId xmlns:a16="http://schemas.microsoft.com/office/drawing/2014/main" id="{22E00904-83B2-4ECA-B233-63416F97D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ayaGovardhan" refreshedDate="46049.512160416663" createdVersion="8" refreshedVersion="8" minRefreshableVersion="3" recordCount="50" xr:uid="{F55E068F-885E-4450-BE9B-4F2CC6B0499D}">
  <cacheSource type="worksheet">
    <worksheetSource name="Table4"/>
  </cacheSource>
  <cacheFields count="17">
    <cacheField name="Student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Gender" numFmtId="0">
      <sharedItems count="2">
        <s v="Male"/>
        <s v="Female"/>
      </sharedItems>
    </cacheField>
    <cacheField name="Department" numFmtId="0">
      <sharedItems count="5">
        <s v="Mechanical"/>
        <s v="CSE"/>
        <s v="EEE"/>
        <s v="ECE"/>
        <s v="Civil"/>
      </sharedItems>
    </cacheField>
    <cacheField name="Semester" numFmtId="0">
      <sharedItems containsSemiMixedTypes="0" containsString="0" containsNumber="1" containsInteger="1" minValue="1" maxValue="8"/>
    </cacheField>
    <cacheField name="Attendance_%" numFmtId="0">
      <sharedItems containsSemiMixedTypes="0" containsString="0" containsNumber="1" containsInteger="1" minValue="66" maxValue="98" count="28">
        <n v="88"/>
        <n v="87"/>
        <n v="97"/>
        <n v="79"/>
        <n v="98"/>
        <n v="81"/>
        <n v="93"/>
        <n v="67"/>
        <n v="74"/>
        <n v="80"/>
        <n v="66"/>
        <n v="78"/>
        <n v="82"/>
        <n v="77"/>
        <n v="90"/>
        <n v="75"/>
        <n v="71"/>
        <n v="68"/>
        <n v="72"/>
        <n v="89"/>
        <n v="92"/>
        <n v="73"/>
        <n v="84"/>
        <n v="86"/>
        <n v="85"/>
        <n v="95"/>
        <n v="70"/>
        <n v="96"/>
      </sharedItems>
    </cacheField>
    <cacheField name="Maths" numFmtId="0">
      <sharedItems containsSemiMixedTypes="0" containsString="0" containsNumber="1" containsInteger="1" minValue="53" maxValue="100"/>
    </cacheField>
    <cacheField name="Physics" numFmtId="0">
      <sharedItems containsSemiMixedTypes="0" containsString="0" containsNumber="1" containsInteger="1" minValue="51" maxValue="100"/>
    </cacheField>
    <cacheField name="Chemistry" numFmtId="0">
      <sharedItems containsSemiMixedTypes="0" containsString="0" containsNumber="1" containsInteger="1" minValue="50" maxValue="100"/>
    </cacheField>
    <cacheField name="Computer_Science" numFmtId="0">
      <sharedItems containsSemiMixedTypes="0" containsString="0" containsNumber="1" containsInteger="1" minValue="51" maxValue="100"/>
    </cacheField>
    <cacheField name="English" numFmtId="0">
      <sharedItems containsSemiMixedTypes="0" containsString="0" containsNumber="1" containsInteger="1" minValue="50" maxValue="98"/>
    </cacheField>
    <cacheField name="Total_Marks" numFmtId="0">
      <sharedItems containsSemiMixedTypes="0" containsString="0" containsNumber="1" containsInteger="1" minValue="313" maxValue="436"/>
    </cacheField>
    <cacheField name="Overall_%" numFmtId="0">
      <sharedItems containsSemiMixedTypes="0" containsString="0" containsNumber="1" minValue="62.6" maxValue="87.2"/>
    </cacheField>
    <cacheField name="GPA" numFmtId="0">
      <sharedItems containsSemiMixedTypes="0" containsString="0" containsNumber="1" minValue="3" maxValue="4"/>
    </cacheField>
    <cacheField name="Performance_Status" numFmtId="0">
      <sharedItems/>
    </cacheField>
    <cacheField name="department2" numFmtId="0">
      <sharedItems containsBlank="1" count="6">
        <m/>
        <s v="ECE"/>
        <s v="CSE"/>
        <s v="CIVIL"/>
        <s v="EEE"/>
        <s v="MECHANICAL"/>
      </sharedItems>
    </cacheField>
    <cacheField name="avg gpa" numFmtId="0">
      <sharedItems containsString="0" containsBlank="1" containsNumber="1" minValue="3.1666666666666665" maxValue="3.5"/>
    </cacheField>
    <cacheField name="avg attendence" numFmtId="0">
      <sharedItems containsString="0" containsBlank="1" containsNumber="1" minValue="78.166666666666671" maxValue="86"/>
    </cacheField>
  </cacheFields>
  <extLst>
    <ext xmlns:x14="http://schemas.microsoft.com/office/spreadsheetml/2009/9/main" uri="{725AE2AE-9491-48be-B2B4-4EB974FC3084}">
      <x14:pivotCacheDefinition pivotCacheId="1071283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6"/>
    <x v="0"/>
    <n v="99"/>
    <n v="66"/>
    <n v="86"/>
    <n v="95"/>
    <n v="90"/>
    <n v="436"/>
    <n v="87.2"/>
    <n v="4"/>
    <s v="Excellent"/>
    <x v="0"/>
    <m/>
    <m/>
  </r>
  <r>
    <x v="1"/>
    <x v="0"/>
    <x v="0"/>
    <n v="5"/>
    <x v="1"/>
    <n v="76"/>
    <n v="51"/>
    <n v="53"/>
    <n v="67"/>
    <n v="70"/>
    <n v="317"/>
    <n v="63.4"/>
    <n v="3"/>
    <s v="Average"/>
    <x v="0"/>
    <m/>
    <m/>
  </r>
  <r>
    <x v="2"/>
    <x v="1"/>
    <x v="1"/>
    <n v="4"/>
    <x v="2"/>
    <n v="88"/>
    <n v="79"/>
    <n v="57"/>
    <n v="76"/>
    <n v="57"/>
    <n v="357"/>
    <n v="71.399999999999991"/>
    <n v="3.5"/>
    <s v="Good"/>
    <x v="0"/>
    <m/>
    <m/>
  </r>
  <r>
    <x v="3"/>
    <x v="0"/>
    <x v="2"/>
    <n v="1"/>
    <x v="3"/>
    <n v="73"/>
    <n v="85"/>
    <n v="92"/>
    <n v="64"/>
    <n v="97"/>
    <n v="411"/>
    <n v="82.199999999999989"/>
    <n v="3.5"/>
    <s v="Good"/>
    <x v="0"/>
    <m/>
    <m/>
  </r>
  <r>
    <x v="4"/>
    <x v="1"/>
    <x v="3"/>
    <n v="1"/>
    <x v="4"/>
    <n v="61"/>
    <n v="54"/>
    <n v="79"/>
    <n v="62"/>
    <n v="68"/>
    <n v="324"/>
    <n v="64.8"/>
    <n v="3"/>
    <s v="Average"/>
    <x v="0"/>
    <m/>
    <m/>
  </r>
  <r>
    <x v="5"/>
    <x v="0"/>
    <x v="2"/>
    <n v="8"/>
    <x v="5"/>
    <n v="89"/>
    <n v="52"/>
    <n v="53"/>
    <n v="69"/>
    <n v="96"/>
    <n v="359"/>
    <n v="71.8"/>
    <n v="3.5"/>
    <s v="Good"/>
    <x v="0"/>
    <m/>
    <m/>
  </r>
  <r>
    <x v="6"/>
    <x v="0"/>
    <x v="0"/>
    <n v="7"/>
    <x v="5"/>
    <n v="88"/>
    <n v="53"/>
    <n v="66"/>
    <n v="77"/>
    <n v="98"/>
    <n v="382"/>
    <n v="76.400000000000006"/>
    <n v="3.5"/>
    <s v="Good"/>
    <x v="1"/>
    <n v="3.4615384615384617"/>
    <n v="82.92307692307692"/>
  </r>
  <r>
    <x v="7"/>
    <x v="0"/>
    <x v="1"/>
    <n v="6"/>
    <x v="6"/>
    <n v="89"/>
    <n v="98"/>
    <n v="58"/>
    <n v="85"/>
    <n v="79"/>
    <n v="409"/>
    <n v="81.8"/>
    <n v="3.5"/>
    <s v="Good"/>
    <x v="2"/>
    <n v="3.4090909090909092"/>
    <n v="81.36363636363636"/>
  </r>
  <r>
    <x v="8"/>
    <x v="1"/>
    <x v="1"/>
    <n v="1"/>
    <x v="7"/>
    <n v="75"/>
    <n v="84"/>
    <n v="87"/>
    <n v="52"/>
    <n v="67"/>
    <n v="365"/>
    <n v="73"/>
    <n v="3.5"/>
    <s v="Good"/>
    <x v="3"/>
    <n v="3.1666666666666665"/>
    <n v="78.166666666666671"/>
  </r>
  <r>
    <x v="9"/>
    <x v="0"/>
    <x v="2"/>
    <n v="4"/>
    <x v="8"/>
    <n v="100"/>
    <n v="70"/>
    <n v="87"/>
    <n v="95"/>
    <n v="79"/>
    <n v="431"/>
    <n v="86.2"/>
    <n v="4"/>
    <s v="Excellent"/>
    <x v="4"/>
    <n v="3.5"/>
    <n v="78.2"/>
  </r>
  <r>
    <x v="10"/>
    <x v="0"/>
    <x v="0"/>
    <n v="8"/>
    <x v="6"/>
    <n v="56"/>
    <n v="51"/>
    <n v="50"/>
    <n v="67"/>
    <n v="93"/>
    <n v="317"/>
    <n v="63.4"/>
    <n v="3"/>
    <s v="Average"/>
    <x v="5"/>
    <n v="3.5"/>
    <n v="86"/>
  </r>
  <r>
    <x v="11"/>
    <x v="0"/>
    <x v="3"/>
    <n v="1"/>
    <x v="6"/>
    <n v="100"/>
    <n v="74"/>
    <n v="76"/>
    <n v="89"/>
    <n v="50"/>
    <n v="389"/>
    <n v="77.8"/>
    <n v="3.5"/>
    <s v="Good"/>
    <x v="0"/>
    <m/>
    <m/>
  </r>
  <r>
    <x v="12"/>
    <x v="0"/>
    <x v="1"/>
    <n v="3"/>
    <x v="2"/>
    <n v="56"/>
    <n v="98"/>
    <n v="86"/>
    <n v="96"/>
    <n v="59"/>
    <n v="395"/>
    <n v="79"/>
    <n v="3.5"/>
    <s v="Good"/>
    <x v="0"/>
    <m/>
    <m/>
  </r>
  <r>
    <x v="13"/>
    <x v="0"/>
    <x v="2"/>
    <n v="8"/>
    <x v="9"/>
    <n v="96"/>
    <n v="59"/>
    <n v="79"/>
    <n v="64"/>
    <n v="75"/>
    <n v="373"/>
    <n v="74.599999999999994"/>
    <n v="3.5"/>
    <s v="Good"/>
    <x v="0"/>
    <m/>
    <m/>
  </r>
  <r>
    <x v="14"/>
    <x v="0"/>
    <x v="3"/>
    <n v="7"/>
    <x v="0"/>
    <n v="75"/>
    <n v="62"/>
    <n v="74"/>
    <n v="91"/>
    <n v="95"/>
    <n v="397"/>
    <n v="79.400000000000006"/>
    <n v="3.5"/>
    <s v="Good"/>
    <x v="0"/>
    <m/>
    <m/>
  </r>
  <r>
    <x v="15"/>
    <x v="0"/>
    <x v="2"/>
    <n v="5"/>
    <x v="10"/>
    <n v="75"/>
    <n v="89"/>
    <n v="57"/>
    <n v="70"/>
    <n v="60"/>
    <n v="351"/>
    <n v="70.199999999999989"/>
    <n v="3.5"/>
    <s v="Good"/>
    <x v="0"/>
    <m/>
    <m/>
  </r>
  <r>
    <x v="16"/>
    <x v="1"/>
    <x v="1"/>
    <n v="2"/>
    <x v="11"/>
    <n v="92"/>
    <n v="87"/>
    <n v="87"/>
    <n v="75"/>
    <n v="65"/>
    <n v="406"/>
    <n v="81.2"/>
    <n v="3.5"/>
    <s v="Good"/>
    <x v="0"/>
    <m/>
    <m/>
  </r>
  <r>
    <x v="17"/>
    <x v="1"/>
    <x v="4"/>
    <n v="5"/>
    <x v="12"/>
    <n v="64"/>
    <n v="59"/>
    <n v="93"/>
    <n v="70"/>
    <n v="60"/>
    <n v="346"/>
    <n v="69.199999999999989"/>
    <n v="3"/>
    <s v="Average"/>
    <x v="0"/>
    <m/>
    <m/>
  </r>
  <r>
    <x v="18"/>
    <x v="1"/>
    <x v="2"/>
    <n v="3"/>
    <x v="13"/>
    <n v="89"/>
    <n v="59"/>
    <n v="99"/>
    <n v="84"/>
    <n v="76"/>
    <n v="407"/>
    <n v="81.399999999999991"/>
    <n v="3.5"/>
    <s v="Good"/>
    <x v="0"/>
    <m/>
    <m/>
  </r>
  <r>
    <x v="19"/>
    <x v="0"/>
    <x v="2"/>
    <n v="1"/>
    <x v="14"/>
    <n v="98"/>
    <n v="100"/>
    <n v="61"/>
    <n v="59"/>
    <n v="62"/>
    <n v="380"/>
    <n v="76"/>
    <n v="3.5"/>
    <s v="Good"/>
    <x v="0"/>
    <m/>
    <m/>
  </r>
  <r>
    <x v="20"/>
    <x v="1"/>
    <x v="3"/>
    <n v="6"/>
    <x v="10"/>
    <n v="74"/>
    <n v="73"/>
    <n v="76"/>
    <n v="76"/>
    <n v="86"/>
    <n v="385"/>
    <n v="77"/>
    <n v="3.5"/>
    <s v="Good"/>
    <x v="0"/>
    <m/>
    <m/>
  </r>
  <r>
    <x v="21"/>
    <x v="0"/>
    <x v="1"/>
    <n v="5"/>
    <x v="15"/>
    <n v="68"/>
    <n v="56"/>
    <n v="78"/>
    <n v="100"/>
    <n v="67"/>
    <n v="369"/>
    <n v="73.8"/>
    <n v="3.5"/>
    <s v="Good"/>
    <x v="0"/>
    <m/>
    <m/>
  </r>
  <r>
    <x v="22"/>
    <x v="0"/>
    <x v="3"/>
    <n v="4"/>
    <x v="16"/>
    <n v="82"/>
    <n v="73"/>
    <n v="90"/>
    <n v="90"/>
    <n v="72"/>
    <n v="407"/>
    <n v="81.399999999999991"/>
    <n v="3.5"/>
    <s v="Good"/>
    <x v="0"/>
    <m/>
    <m/>
  </r>
  <r>
    <x v="23"/>
    <x v="1"/>
    <x v="1"/>
    <n v="3"/>
    <x v="7"/>
    <n v="78"/>
    <n v="56"/>
    <n v="80"/>
    <n v="85"/>
    <n v="68"/>
    <n v="367"/>
    <n v="73.400000000000006"/>
    <n v="3.5"/>
    <s v="Good"/>
    <x v="0"/>
    <m/>
    <m/>
  </r>
  <r>
    <x v="24"/>
    <x v="1"/>
    <x v="4"/>
    <n v="5"/>
    <x v="17"/>
    <n v="66"/>
    <n v="55"/>
    <n v="63"/>
    <n v="57"/>
    <n v="72"/>
    <n v="313"/>
    <n v="62.6"/>
    <n v="3"/>
    <s v="Average"/>
    <x v="0"/>
    <m/>
    <m/>
  </r>
  <r>
    <x v="25"/>
    <x v="0"/>
    <x v="1"/>
    <n v="4"/>
    <x v="18"/>
    <n v="81"/>
    <n v="75"/>
    <n v="100"/>
    <n v="77"/>
    <n v="89"/>
    <n v="422"/>
    <n v="84.399999999999991"/>
    <n v="3.5"/>
    <s v="Good"/>
    <x v="0"/>
    <m/>
    <m/>
  </r>
  <r>
    <x v="26"/>
    <x v="0"/>
    <x v="4"/>
    <n v="3"/>
    <x v="18"/>
    <n v="83"/>
    <n v="58"/>
    <n v="54"/>
    <n v="100"/>
    <n v="51"/>
    <n v="346"/>
    <n v="69.199999999999989"/>
    <n v="3"/>
    <s v="Average"/>
    <x v="0"/>
    <m/>
    <m/>
  </r>
  <r>
    <x v="27"/>
    <x v="1"/>
    <x v="0"/>
    <n v="3"/>
    <x v="19"/>
    <n v="88"/>
    <n v="95"/>
    <n v="79"/>
    <n v="86"/>
    <n v="88"/>
    <n v="436"/>
    <n v="87.2"/>
    <n v="4"/>
    <s v="Excellent"/>
    <x v="0"/>
    <m/>
    <m/>
  </r>
  <r>
    <x v="28"/>
    <x v="1"/>
    <x v="3"/>
    <n v="2"/>
    <x v="20"/>
    <n v="66"/>
    <n v="56"/>
    <n v="89"/>
    <n v="100"/>
    <n v="84"/>
    <n v="395"/>
    <n v="79"/>
    <n v="3.5"/>
    <s v="Good"/>
    <x v="0"/>
    <m/>
    <m/>
  </r>
  <r>
    <x v="29"/>
    <x v="0"/>
    <x v="1"/>
    <n v="5"/>
    <x v="10"/>
    <n v="92"/>
    <n v="80"/>
    <n v="80"/>
    <n v="84"/>
    <n v="78"/>
    <n v="414"/>
    <n v="82.8"/>
    <n v="3.5"/>
    <s v="Good"/>
    <x v="0"/>
    <m/>
    <m/>
  </r>
  <r>
    <x v="30"/>
    <x v="0"/>
    <x v="3"/>
    <n v="3"/>
    <x v="21"/>
    <n v="57"/>
    <n v="95"/>
    <n v="69"/>
    <n v="72"/>
    <n v="69"/>
    <n v="362"/>
    <n v="72.399999999999991"/>
    <n v="3.5"/>
    <s v="Good"/>
    <x v="0"/>
    <m/>
    <m/>
  </r>
  <r>
    <x v="31"/>
    <x v="1"/>
    <x v="0"/>
    <n v="8"/>
    <x v="4"/>
    <n v="58"/>
    <n v="75"/>
    <n v="69"/>
    <n v="83"/>
    <n v="65"/>
    <n v="350"/>
    <n v="70"/>
    <n v="3.5"/>
    <s v="Good"/>
    <x v="0"/>
    <m/>
    <m/>
  </r>
  <r>
    <x v="32"/>
    <x v="0"/>
    <x v="0"/>
    <n v="2"/>
    <x v="15"/>
    <n v="72"/>
    <n v="98"/>
    <n v="52"/>
    <n v="87"/>
    <n v="85"/>
    <n v="394"/>
    <n v="78.8"/>
    <n v="3.5"/>
    <s v="Good"/>
    <x v="0"/>
    <m/>
    <m/>
  </r>
  <r>
    <x v="33"/>
    <x v="1"/>
    <x v="1"/>
    <n v="2"/>
    <x v="4"/>
    <n v="86"/>
    <n v="56"/>
    <n v="50"/>
    <n v="72"/>
    <n v="64"/>
    <n v="328"/>
    <n v="65.600000000000009"/>
    <n v="3"/>
    <s v="Average"/>
    <x v="0"/>
    <m/>
    <m/>
  </r>
  <r>
    <x v="34"/>
    <x v="1"/>
    <x v="4"/>
    <n v="8"/>
    <x v="12"/>
    <n v="53"/>
    <n v="81"/>
    <n v="51"/>
    <n v="85"/>
    <n v="53"/>
    <n v="323"/>
    <n v="64.600000000000009"/>
    <n v="3"/>
    <s v="Average"/>
    <x v="0"/>
    <m/>
    <m/>
  </r>
  <r>
    <x v="35"/>
    <x v="0"/>
    <x v="2"/>
    <n v="5"/>
    <x v="22"/>
    <n v="84"/>
    <n v="94"/>
    <n v="73"/>
    <n v="51"/>
    <n v="89"/>
    <n v="391"/>
    <n v="78.2"/>
    <n v="3.5"/>
    <s v="Good"/>
    <x v="0"/>
    <m/>
    <m/>
  </r>
  <r>
    <x v="36"/>
    <x v="0"/>
    <x v="3"/>
    <n v="5"/>
    <x v="23"/>
    <n v="100"/>
    <n v="69"/>
    <n v="52"/>
    <n v="61"/>
    <n v="85"/>
    <n v="367"/>
    <n v="73.400000000000006"/>
    <n v="3.5"/>
    <s v="Good"/>
    <x v="0"/>
    <m/>
    <m/>
  </r>
  <r>
    <x v="37"/>
    <x v="0"/>
    <x v="2"/>
    <n v="3"/>
    <x v="24"/>
    <n v="62"/>
    <n v="69"/>
    <n v="55"/>
    <n v="83"/>
    <n v="66"/>
    <n v="335"/>
    <n v="67"/>
    <n v="3"/>
    <s v="Average"/>
    <x v="0"/>
    <m/>
    <m/>
  </r>
  <r>
    <x v="38"/>
    <x v="0"/>
    <x v="0"/>
    <n v="7"/>
    <x v="13"/>
    <n v="65"/>
    <n v="91"/>
    <n v="74"/>
    <n v="69"/>
    <n v="59"/>
    <n v="358"/>
    <n v="71.599999999999994"/>
    <n v="3.5"/>
    <s v="Good"/>
    <x v="0"/>
    <m/>
    <m/>
  </r>
  <r>
    <x v="39"/>
    <x v="0"/>
    <x v="2"/>
    <n v="8"/>
    <x v="10"/>
    <n v="87"/>
    <n v="51"/>
    <n v="65"/>
    <n v="87"/>
    <n v="63"/>
    <n v="353"/>
    <n v="70.599999999999994"/>
    <n v="3.5"/>
    <s v="Good"/>
    <x v="0"/>
    <m/>
    <m/>
  </r>
  <r>
    <x v="40"/>
    <x v="1"/>
    <x v="3"/>
    <n v="5"/>
    <x v="9"/>
    <n v="85"/>
    <n v="65"/>
    <n v="79"/>
    <n v="72"/>
    <n v="82"/>
    <n v="383"/>
    <n v="76.599999999999994"/>
    <n v="3.5"/>
    <s v="Good"/>
    <x v="0"/>
    <m/>
    <m/>
  </r>
  <r>
    <x v="41"/>
    <x v="0"/>
    <x v="0"/>
    <n v="1"/>
    <x v="4"/>
    <n v="98"/>
    <n v="80"/>
    <n v="57"/>
    <n v="70"/>
    <n v="90"/>
    <n v="395"/>
    <n v="79"/>
    <n v="3.5"/>
    <s v="Good"/>
    <x v="0"/>
    <m/>
    <m/>
  </r>
  <r>
    <x v="42"/>
    <x v="1"/>
    <x v="3"/>
    <n v="7"/>
    <x v="25"/>
    <n v="79"/>
    <n v="69"/>
    <n v="95"/>
    <n v="79"/>
    <n v="64"/>
    <n v="386"/>
    <n v="77.2"/>
    <n v="3.5"/>
    <s v="Good"/>
    <x v="0"/>
    <m/>
    <m/>
  </r>
  <r>
    <x v="43"/>
    <x v="1"/>
    <x v="1"/>
    <n v="2"/>
    <x v="24"/>
    <n v="57"/>
    <n v="57"/>
    <n v="69"/>
    <n v="60"/>
    <n v="92"/>
    <n v="335"/>
    <n v="67"/>
    <n v="3"/>
    <s v="Average"/>
    <x v="0"/>
    <m/>
    <m/>
  </r>
  <r>
    <x v="44"/>
    <x v="1"/>
    <x v="4"/>
    <n v="4"/>
    <x v="11"/>
    <n v="71"/>
    <n v="69"/>
    <n v="88"/>
    <n v="59"/>
    <n v="92"/>
    <n v="379"/>
    <n v="75.8"/>
    <n v="3.5"/>
    <s v="Good"/>
    <x v="0"/>
    <m/>
    <m/>
  </r>
  <r>
    <x v="45"/>
    <x v="0"/>
    <x v="3"/>
    <n v="7"/>
    <x v="26"/>
    <n v="81"/>
    <n v="93"/>
    <n v="66"/>
    <n v="82"/>
    <n v="88"/>
    <n v="410"/>
    <n v="82"/>
    <n v="3.5"/>
    <s v="Good"/>
    <x v="0"/>
    <m/>
    <m/>
  </r>
  <r>
    <x v="46"/>
    <x v="1"/>
    <x v="3"/>
    <n v="7"/>
    <x v="26"/>
    <n v="82"/>
    <n v="83"/>
    <n v="86"/>
    <n v="58"/>
    <n v="61"/>
    <n v="370"/>
    <n v="74"/>
    <n v="3.5"/>
    <s v="Good"/>
    <x v="0"/>
    <m/>
    <m/>
  </r>
  <r>
    <x v="47"/>
    <x v="0"/>
    <x v="0"/>
    <n v="1"/>
    <x v="13"/>
    <n v="64"/>
    <n v="96"/>
    <n v="96"/>
    <n v="66"/>
    <n v="80"/>
    <n v="402"/>
    <n v="80.400000000000006"/>
    <n v="3.5"/>
    <s v="Good"/>
    <x v="0"/>
    <m/>
    <m/>
  </r>
  <r>
    <x v="48"/>
    <x v="0"/>
    <x v="3"/>
    <n v="4"/>
    <x v="27"/>
    <n v="68"/>
    <n v="84"/>
    <n v="55"/>
    <n v="89"/>
    <n v="97"/>
    <n v="393"/>
    <n v="78.600000000000009"/>
    <n v="3.5"/>
    <s v="Good"/>
    <x v="0"/>
    <m/>
    <m/>
  </r>
  <r>
    <x v="49"/>
    <x v="1"/>
    <x v="4"/>
    <n v="4"/>
    <x v="1"/>
    <n v="68"/>
    <n v="97"/>
    <n v="53"/>
    <n v="90"/>
    <n v="69"/>
    <n v="377"/>
    <n v="75.400000000000006"/>
    <n v="3.5"/>
    <s v="Good"/>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A31B1-3ACC-41A3-824D-6B360A2939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6" firstHeaderRow="1" firstDataRow="1" firstDataCol="1"/>
  <pivotFields count="17">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3">
        <item x="1"/>
        <item x="0"/>
        <item t="default"/>
      </items>
    </pivotField>
    <pivotField showAll="0">
      <items count="6">
        <item x="4"/>
        <item x="1"/>
        <item x="3"/>
        <item x="2"/>
        <item x="0"/>
        <item t="default"/>
      </items>
    </pivotField>
    <pivotField showAll="0"/>
    <pivotField showAll="0">
      <items count="29">
        <item x="10"/>
        <item x="7"/>
        <item x="17"/>
        <item x="26"/>
        <item x="16"/>
        <item x="18"/>
        <item x="21"/>
        <item x="8"/>
        <item x="15"/>
        <item x="13"/>
        <item x="11"/>
        <item x="3"/>
        <item x="9"/>
        <item x="5"/>
        <item x="12"/>
        <item x="22"/>
        <item x="24"/>
        <item x="23"/>
        <item x="1"/>
        <item x="0"/>
        <item x="19"/>
        <item x="14"/>
        <item x="20"/>
        <item x="6"/>
        <item x="25"/>
        <item x="27"/>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tudent_ID" fld="0" subtotal="count" baseField="1"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2E93C5-9FA6-48A3-BB94-CCB9E880BF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10" firstHeaderRow="1" firstDataRow="1" firstDataCol="1"/>
  <pivotFields count="17">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6">
        <item x="4"/>
        <item x="1"/>
        <item x="3"/>
        <item x="2"/>
        <item x="0"/>
        <item t="default"/>
      </items>
    </pivotField>
    <pivotField showAll="0"/>
    <pivotField showAll="0">
      <items count="29">
        <item x="10"/>
        <item x="7"/>
        <item x="17"/>
        <item x="26"/>
        <item x="16"/>
        <item x="18"/>
        <item x="21"/>
        <item x="8"/>
        <item x="15"/>
        <item x="13"/>
        <item x="11"/>
        <item x="3"/>
        <item x="9"/>
        <item x="5"/>
        <item x="12"/>
        <item x="22"/>
        <item x="24"/>
        <item x="23"/>
        <item x="1"/>
        <item x="0"/>
        <item x="19"/>
        <item x="14"/>
        <item x="20"/>
        <item x="6"/>
        <item x="25"/>
        <item x="27"/>
        <item x="2"/>
        <item x="4"/>
        <item t="default"/>
      </items>
    </pivotField>
    <pivotField showAll="0"/>
    <pivotField showAll="0"/>
    <pivotField showAll="0"/>
    <pivotField showAll="0"/>
    <pivotField showAll="0"/>
    <pivotField showAll="0"/>
    <pivotField showAll="0"/>
    <pivotField showAll="0"/>
    <pivotField showAll="0"/>
    <pivotField axis="axisRow" showAll="0">
      <items count="7">
        <item x="3"/>
        <item x="2"/>
        <item x="1"/>
        <item x="4"/>
        <item x="5"/>
        <item x="0"/>
        <item t="default"/>
      </items>
    </pivotField>
    <pivotField dataField="1" showAll="0"/>
    <pivotField showAll="0"/>
  </pivotFields>
  <rowFields count="1">
    <field x="14"/>
  </rowFields>
  <rowItems count="7">
    <i>
      <x/>
    </i>
    <i>
      <x v="1"/>
    </i>
    <i>
      <x v="2"/>
    </i>
    <i>
      <x v="3"/>
    </i>
    <i>
      <x v="4"/>
    </i>
    <i>
      <x v="5"/>
    </i>
    <i t="grand">
      <x/>
    </i>
  </rowItems>
  <colItems count="1">
    <i/>
  </colItems>
  <dataFields count="1">
    <dataField name="Sum of avg gpa" fld="15"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0A919-5D1F-448B-9E48-E5A012F01A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4" firstHeaderRow="1" firstDataRow="1" firstDataCol="1"/>
  <pivotFields count="17">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6">
        <item x="4"/>
        <item x="1"/>
        <item x="3"/>
        <item x="2"/>
        <item x="0"/>
        <item t="default"/>
      </items>
    </pivotField>
    <pivotField showAll="0"/>
    <pivotField dataField="1" showAll="0">
      <items count="29">
        <item x="10"/>
        <item x="7"/>
        <item x="17"/>
        <item x="26"/>
        <item x="16"/>
        <item x="18"/>
        <item x="21"/>
        <item x="8"/>
        <item x="15"/>
        <item x="13"/>
        <item x="11"/>
        <item x="3"/>
        <item x="9"/>
        <item x="5"/>
        <item x="12"/>
        <item x="22"/>
        <item x="24"/>
        <item x="23"/>
        <item x="1"/>
        <item x="0"/>
        <item x="19"/>
        <item x="14"/>
        <item x="20"/>
        <item x="6"/>
        <item x="25"/>
        <item x="27"/>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ttendance_%" fld="4"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B3AEF-D4A5-46E4-B7FE-00BFC32FAC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0" firstHeaderRow="1" firstDataRow="1" firstDataCol="1"/>
  <pivotFields count="17">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 showAll="0">
      <items count="6">
        <item x="4"/>
        <item x="1"/>
        <item x="3"/>
        <item x="2"/>
        <item x="0"/>
        <item t="default"/>
      </items>
    </pivotField>
    <pivotField showAll="0"/>
    <pivotField showAll="0">
      <items count="29">
        <item x="10"/>
        <item x="7"/>
        <item x="17"/>
        <item x="26"/>
        <item x="16"/>
        <item x="18"/>
        <item x="21"/>
        <item x="8"/>
        <item x="15"/>
        <item x="13"/>
        <item x="11"/>
        <item x="3"/>
        <item x="9"/>
        <item x="5"/>
        <item x="12"/>
        <item x="22"/>
        <item x="24"/>
        <item x="23"/>
        <item x="1"/>
        <item x="0"/>
        <item x="19"/>
        <item x="14"/>
        <item x="20"/>
        <item x="6"/>
        <item x="25"/>
        <item x="27"/>
        <item x="2"/>
        <item x="4"/>
        <item t="default"/>
      </items>
    </pivotField>
    <pivotField showAll="0"/>
    <pivotField showAll="0"/>
    <pivotField showAll="0"/>
    <pivotField showAll="0"/>
    <pivotField showAll="0"/>
    <pivotField showAll="0"/>
    <pivotField showAll="0"/>
    <pivotField showAll="0"/>
    <pivotField showAll="0"/>
    <pivotField axis="axisRow" showAll="0">
      <items count="7">
        <item x="3"/>
        <item x="2"/>
        <item x="1"/>
        <item x="4"/>
        <item x="5"/>
        <item x="0"/>
        <item t="default"/>
      </items>
    </pivotField>
    <pivotField showAll="0"/>
    <pivotField dataField="1" showAll="0"/>
  </pivotFields>
  <rowFields count="1">
    <field x="14"/>
  </rowFields>
  <rowItems count="7">
    <i>
      <x/>
    </i>
    <i>
      <x v="1"/>
    </i>
    <i>
      <x v="2"/>
    </i>
    <i>
      <x v="3"/>
    </i>
    <i>
      <x v="4"/>
    </i>
    <i>
      <x v="5"/>
    </i>
    <i t="grand">
      <x/>
    </i>
  </rowItems>
  <colItems count="1">
    <i/>
  </colItems>
  <dataFields count="1">
    <dataField name="Sum of avg attendence" fld="16" baseField="0" baseItem="0"/>
  </dataFields>
  <chartFormats count="3">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2583BCE-3875-4C9E-B122-E4AD164D1CBE}" sourceName="Student_ID">
  <pivotTables>
    <pivotTable tabId="2" name="PivotTable2"/>
    <pivotTable tabId="2" name="PivotTable1"/>
    <pivotTable tabId="2" name="PivotTable3"/>
    <pivotTable tabId="2" name="PivotTable5"/>
  </pivotTables>
  <data>
    <tabular pivotCacheId="1071283272">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30A11A-88D6-4E5F-80DE-67D23E17891D}" sourceName="Department">
  <pivotTables>
    <pivotTable tabId="2" name="PivotTable2"/>
    <pivotTable tabId="2" name="PivotTable1"/>
    <pivotTable tabId="2" name="PivotTable3"/>
    <pivotTable tabId="2" name="PivotTable5"/>
  </pivotTables>
  <data>
    <tabular pivotCacheId="1071283272">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33C6DECC-8058-495F-95A6-7E5707DEB36F}" sourceName="Attendance_%">
  <pivotTables>
    <pivotTable tabId="2" name="PivotTable2"/>
    <pivotTable tabId="2" name="PivotTable1"/>
    <pivotTable tabId="2" name="PivotTable3"/>
    <pivotTable tabId="2" name="PivotTable5"/>
  </pivotTables>
  <data>
    <tabular pivotCacheId="1071283272">
      <items count="28">
        <i x="10" s="1"/>
        <i x="7" s="1"/>
        <i x="17" s="1"/>
        <i x="26" s="1"/>
        <i x="16" s="1"/>
        <i x="18" s="1"/>
        <i x="21" s="1"/>
        <i x="8" s="1"/>
        <i x="15" s="1"/>
        <i x="13" s="1"/>
        <i x="11" s="1"/>
        <i x="3" s="1"/>
        <i x="9" s="1"/>
        <i x="5" s="1"/>
        <i x="12" s="1"/>
        <i x="22" s="1"/>
        <i x="24" s="1"/>
        <i x="23" s="1"/>
        <i x="1" s="1"/>
        <i x="0" s="1"/>
        <i x="19" s="1"/>
        <i x="14" s="1"/>
        <i x="20" s="1"/>
        <i x="6" s="1"/>
        <i x="25" s="1"/>
        <i x="27"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00624497-17A7-437C-8191-8A931E2BA321}" cache="Slicer_Student_ID" caption="Student_ID" startItem="43" rowHeight="234950"/>
  <slicer name="Department" xr10:uid="{F3253F34-29CA-4037-A7FD-8ED248FB38BE}" cache="Slicer_Department" caption="Department" rowHeight="234950"/>
  <slicer name="Attendance_%" xr10:uid="{94A8F289-BA71-4E44-A209-ACA4001C3C2A}" cache="Slicer_Attendance" caption="Attendance_%"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1" xr10:uid="{71E2893F-F72D-4C0A-B376-D0F70CE540C5}" cache="Slicer_Student_ID" caption="Student_ID" rowHeight="234950"/>
  <slicer name="Department 1" xr10:uid="{F08ABF3F-10A2-4226-9815-151ADE20E8F2}" cache="Slicer_Department" caption="Department" rowHeight="234950"/>
  <slicer name="Attendance_% 1" xr10:uid="{E8B7FABC-97D0-42C6-A589-5675BC6EB811}" cache="Slicer_Attendance" caption="Attendance_%" startItem="2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610036-1F2D-4E62-8575-A120E4BC9F40}" name="Table4" displayName="Table4" ref="A1:Q51" totalsRowShown="0">
  <autoFilter ref="A1:Q51" xr:uid="{51610036-1F2D-4E62-8575-A120E4BC9F40}"/>
  <tableColumns count="17">
    <tableColumn id="1" xr3:uid="{C22FA144-0BA0-468A-B29E-962A9E4157DC}" name="Student_ID"/>
    <tableColumn id="2" xr3:uid="{E4DD14CC-4B28-4D19-856B-FAA796378A15}" name="Gender"/>
    <tableColumn id="3" xr3:uid="{1A762C10-D552-47C8-9BB6-E6FE58FF4AD6}" name="Department"/>
    <tableColumn id="4" xr3:uid="{49739726-6A59-4F5D-9262-FB36D0825F7E}" name="Semester"/>
    <tableColumn id="5" xr3:uid="{53054B9A-E806-41A4-BE86-C9283A682873}" name="Attendance_%"/>
    <tableColumn id="6" xr3:uid="{7BF16BEE-A2B4-4ABB-BB89-F231A760B6FD}" name="Maths"/>
    <tableColumn id="7" xr3:uid="{804CF659-1965-4067-B051-CF6287E042CD}" name="Physics"/>
    <tableColumn id="8" xr3:uid="{EBE1407B-9BA7-43B6-B7A4-9A0572499F06}" name="Chemistry"/>
    <tableColumn id="9" xr3:uid="{85BED3C3-F4D1-4EC8-9718-BB70DFD6D126}" name="Computer_Science"/>
    <tableColumn id="10" xr3:uid="{17F95B3F-B39E-46F0-98D1-D9C8EF5E9A58}" name="English"/>
    <tableColumn id="11" xr3:uid="{F69C7CFE-7B00-4322-951F-2CD95B7E79FD}" name="Total_Marks">
      <calculatedColumnFormula>SUM(F2:J2)</calculatedColumnFormula>
    </tableColumn>
    <tableColumn id="12" xr3:uid="{80BBB38E-A21E-437A-BE84-79D89AB847F2}" name="Overall_%">
      <calculatedColumnFormula>(K2/500)*100</calculatedColumnFormula>
    </tableColumn>
    <tableColumn id="13" xr3:uid="{474AF796-F570-4043-B654-E7D54E8BB158}" name="GPA"/>
    <tableColumn id="14" xr3:uid="{955DB166-655B-484D-894B-35369B4C1C56}" name="Performance_Status"/>
    <tableColumn id="15" xr3:uid="{4D9CFBC5-69CC-48E9-829E-BBA2B87A759E}" name="department2"/>
    <tableColumn id="16" xr3:uid="{8BE84DC1-381B-4123-BAA2-4AB8BEB9467D}" name="avg gpa"/>
    <tableColumn id="17" xr3:uid="{C788B701-2A1B-4643-A78F-31C6BC8A13AD}" name="avg attende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F1" workbookViewId="0">
      <selection activeCell="T33" sqref="T33"/>
    </sheetView>
  </sheetViews>
  <sheetFormatPr defaultRowHeight="14.4" x14ac:dyDescent="0.3"/>
  <cols>
    <col min="1" max="1" width="13.21875" customWidth="1"/>
    <col min="2" max="2" width="9" customWidth="1"/>
    <col min="3" max="3" width="13" customWidth="1"/>
    <col min="4" max="4" width="10.6640625" customWidth="1"/>
    <col min="5" max="5" width="15.109375" customWidth="1"/>
    <col min="6" max="6" width="8.88671875" customWidth="1"/>
    <col min="7" max="7" width="9" customWidth="1"/>
    <col min="8" max="8" width="11.33203125" customWidth="1"/>
    <col min="9" max="9" width="18.6640625" customWidth="1"/>
    <col min="11" max="11" width="13.33203125" customWidth="1"/>
    <col min="12" max="12" width="14.33203125" customWidth="1"/>
    <col min="14" max="14" width="20" customWidth="1"/>
    <col min="15" max="15" width="13.88671875" customWidth="1"/>
    <col min="16" max="16" width="14" customWidth="1"/>
    <col min="17" max="17" width="15.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28</v>
      </c>
      <c r="P1" t="s">
        <v>26</v>
      </c>
      <c r="Q1" t="s">
        <v>27</v>
      </c>
    </row>
    <row r="2" spans="1:17" x14ac:dyDescent="0.3">
      <c r="A2">
        <v>1</v>
      </c>
      <c r="B2" t="s">
        <v>14</v>
      </c>
      <c r="C2" t="s">
        <v>15</v>
      </c>
      <c r="D2">
        <v>6</v>
      </c>
      <c r="E2">
        <v>88</v>
      </c>
      <c r="F2">
        <v>99</v>
      </c>
      <c r="G2">
        <v>66</v>
      </c>
      <c r="H2">
        <v>86</v>
      </c>
      <c r="I2">
        <v>95</v>
      </c>
      <c r="J2">
        <v>90</v>
      </c>
      <c r="K2">
        <f t="shared" ref="K2:K33" si="0">SUM(F2:J2)</f>
        <v>436</v>
      </c>
      <c r="L2">
        <f>(K2/500)*100</f>
        <v>87.2</v>
      </c>
      <c r="M2">
        <v>4</v>
      </c>
      <c r="N2" t="s">
        <v>16</v>
      </c>
    </row>
    <row r="3" spans="1:17" x14ac:dyDescent="0.3">
      <c r="A3">
        <v>2</v>
      </c>
      <c r="B3" t="s">
        <v>14</v>
      </c>
      <c r="C3" t="s">
        <v>15</v>
      </c>
      <c r="D3">
        <v>5</v>
      </c>
      <c r="E3">
        <v>87</v>
      </c>
      <c r="F3">
        <v>76</v>
      </c>
      <c r="G3">
        <v>51</v>
      </c>
      <c r="H3">
        <v>53</v>
      </c>
      <c r="I3">
        <v>67</v>
      </c>
      <c r="J3">
        <v>70</v>
      </c>
      <c r="K3">
        <f t="shared" si="0"/>
        <v>317</v>
      </c>
      <c r="L3">
        <f t="shared" ref="L3:L51" si="1">(K3/500)*100</f>
        <v>63.4</v>
      </c>
      <c r="M3">
        <v>3</v>
      </c>
      <c r="N3" t="s">
        <v>17</v>
      </c>
    </row>
    <row r="4" spans="1:17" x14ac:dyDescent="0.3">
      <c r="A4">
        <v>3</v>
      </c>
      <c r="B4" t="s">
        <v>18</v>
      </c>
      <c r="C4" t="s">
        <v>19</v>
      </c>
      <c r="D4">
        <v>4</v>
      </c>
      <c r="E4">
        <v>97</v>
      </c>
      <c r="F4">
        <v>88</v>
      </c>
      <c r="G4">
        <v>79</v>
      </c>
      <c r="H4">
        <v>57</v>
      </c>
      <c r="I4">
        <v>76</v>
      </c>
      <c r="J4">
        <v>57</v>
      </c>
      <c r="K4">
        <f t="shared" si="0"/>
        <v>357</v>
      </c>
      <c r="L4">
        <f t="shared" si="1"/>
        <v>71.399999999999991</v>
      </c>
      <c r="M4">
        <v>3.5</v>
      </c>
      <c r="N4" t="s">
        <v>20</v>
      </c>
    </row>
    <row r="5" spans="1:17" x14ac:dyDescent="0.3">
      <c r="A5">
        <v>4</v>
      </c>
      <c r="B5" t="s">
        <v>14</v>
      </c>
      <c r="C5" t="s">
        <v>21</v>
      </c>
      <c r="D5">
        <v>1</v>
      </c>
      <c r="E5">
        <v>79</v>
      </c>
      <c r="F5">
        <v>73</v>
      </c>
      <c r="G5">
        <v>85</v>
      </c>
      <c r="H5">
        <v>92</v>
      </c>
      <c r="I5">
        <v>64</v>
      </c>
      <c r="J5">
        <v>97</v>
      </c>
      <c r="K5">
        <f t="shared" si="0"/>
        <v>411</v>
      </c>
      <c r="L5">
        <f t="shared" si="1"/>
        <v>82.199999999999989</v>
      </c>
      <c r="M5">
        <v>3.5</v>
      </c>
      <c r="N5" t="s">
        <v>20</v>
      </c>
    </row>
    <row r="6" spans="1:17" x14ac:dyDescent="0.3">
      <c r="A6">
        <v>5</v>
      </c>
      <c r="B6" t="s">
        <v>18</v>
      </c>
      <c r="C6" t="s">
        <v>22</v>
      </c>
      <c r="D6">
        <v>1</v>
      </c>
      <c r="E6">
        <v>98</v>
      </c>
      <c r="F6">
        <v>61</v>
      </c>
      <c r="G6">
        <v>54</v>
      </c>
      <c r="H6">
        <v>79</v>
      </c>
      <c r="I6">
        <v>62</v>
      </c>
      <c r="J6">
        <v>68</v>
      </c>
      <c r="K6">
        <f t="shared" si="0"/>
        <v>324</v>
      </c>
      <c r="L6">
        <f t="shared" si="1"/>
        <v>64.8</v>
      </c>
      <c r="M6">
        <v>3</v>
      </c>
      <c r="N6" t="s">
        <v>17</v>
      </c>
    </row>
    <row r="7" spans="1:17" x14ac:dyDescent="0.3">
      <c r="A7">
        <v>6</v>
      </c>
      <c r="B7" t="s">
        <v>14</v>
      </c>
      <c r="C7" t="s">
        <v>21</v>
      </c>
      <c r="D7">
        <v>8</v>
      </c>
      <c r="E7">
        <v>81</v>
      </c>
      <c r="F7">
        <v>89</v>
      </c>
      <c r="G7">
        <v>52</v>
      </c>
      <c r="H7">
        <v>53</v>
      </c>
      <c r="I7">
        <v>69</v>
      </c>
      <c r="J7">
        <v>96</v>
      </c>
      <c r="K7">
        <f t="shared" si="0"/>
        <v>359</v>
      </c>
      <c r="L7">
        <f t="shared" si="1"/>
        <v>71.8</v>
      </c>
      <c r="M7">
        <v>3.5</v>
      </c>
      <c r="N7" t="s">
        <v>20</v>
      </c>
    </row>
    <row r="8" spans="1:17" x14ac:dyDescent="0.3">
      <c r="A8">
        <v>7</v>
      </c>
      <c r="B8" t="s">
        <v>14</v>
      </c>
      <c r="C8" t="s">
        <v>15</v>
      </c>
      <c r="D8">
        <v>7</v>
      </c>
      <c r="E8">
        <v>81</v>
      </c>
      <c r="F8">
        <v>88</v>
      </c>
      <c r="G8">
        <v>53</v>
      </c>
      <c r="H8">
        <v>66</v>
      </c>
      <c r="I8">
        <v>77</v>
      </c>
      <c r="J8">
        <v>98</v>
      </c>
      <c r="K8">
        <f t="shared" si="0"/>
        <v>382</v>
      </c>
      <c r="L8">
        <f t="shared" si="1"/>
        <v>76.400000000000006</v>
      </c>
      <c r="M8">
        <v>3.5</v>
      </c>
      <c r="N8" t="s">
        <v>20</v>
      </c>
      <c r="O8" t="s">
        <v>22</v>
      </c>
      <c r="P8">
        <f>AVERAGEIF(C1:C52,"ECE",M1:M52)</f>
        <v>3.4615384615384617</v>
      </c>
      <c r="Q8">
        <f>AVERAGEIF(C1:C52,"ECE",E1:E52)</f>
        <v>82.92307692307692</v>
      </c>
    </row>
    <row r="9" spans="1:17" x14ac:dyDescent="0.3">
      <c r="A9">
        <v>8</v>
      </c>
      <c r="B9" t="s">
        <v>14</v>
      </c>
      <c r="C9" t="s">
        <v>19</v>
      </c>
      <c r="D9">
        <v>6</v>
      </c>
      <c r="E9">
        <v>93</v>
      </c>
      <c r="F9">
        <v>89</v>
      </c>
      <c r="G9">
        <v>98</v>
      </c>
      <c r="H9">
        <v>58</v>
      </c>
      <c r="I9">
        <v>85</v>
      </c>
      <c r="J9">
        <v>79</v>
      </c>
      <c r="K9">
        <f t="shared" si="0"/>
        <v>409</v>
      </c>
      <c r="L9">
        <f t="shared" si="1"/>
        <v>81.8</v>
      </c>
      <c r="M9">
        <v>3.5</v>
      </c>
      <c r="N9" t="s">
        <v>20</v>
      </c>
      <c r="O9" t="s">
        <v>19</v>
      </c>
      <c r="P9">
        <f>AVERAGEIF(C1:C52,"CSE",M1:M52)</f>
        <v>3.4090909090909092</v>
      </c>
      <c r="Q9">
        <f>AVERAGEIF(C2:C53,"CSE",E2:E53)</f>
        <v>81.36363636363636</v>
      </c>
    </row>
    <row r="10" spans="1:17" x14ac:dyDescent="0.3">
      <c r="A10">
        <v>9</v>
      </c>
      <c r="B10" t="s">
        <v>18</v>
      </c>
      <c r="C10" t="s">
        <v>19</v>
      </c>
      <c r="D10">
        <v>1</v>
      </c>
      <c r="E10">
        <v>67</v>
      </c>
      <c r="F10">
        <v>75</v>
      </c>
      <c r="G10">
        <v>84</v>
      </c>
      <c r="H10">
        <v>87</v>
      </c>
      <c r="I10">
        <v>52</v>
      </c>
      <c r="J10">
        <v>67</v>
      </c>
      <c r="K10">
        <f t="shared" si="0"/>
        <v>365</v>
      </c>
      <c r="L10">
        <f t="shared" si="1"/>
        <v>73</v>
      </c>
      <c r="M10">
        <v>3.5</v>
      </c>
      <c r="N10" t="s">
        <v>20</v>
      </c>
      <c r="O10" t="s">
        <v>24</v>
      </c>
      <c r="P10">
        <f>AVERAGEIF(C1:C52,"CIVIL",M1:M52)</f>
        <v>3.1666666666666665</v>
      </c>
      <c r="Q10">
        <f>AVERAGEIF(C3:C54,"CIVIL",E3:E54)</f>
        <v>78.166666666666671</v>
      </c>
    </row>
    <row r="11" spans="1:17" x14ac:dyDescent="0.3">
      <c r="A11">
        <v>10</v>
      </c>
      <c r="B11" t="s">
        <v>14</v>
      </c>
      <c r="C11" t="s">
        <v>21</v>
      </c>
      <c r="D11">
        <v>4</v>
      </c>
      <c r="E11">
        <v>74</v>
      </c>
      <c r="F11">
        <v>100</v>
      </c>
      <c r="G11">
        <v>70</v>
      </c>
      <c r="H11">
        <v>87</v>
      </c>
      <c r="I11">
        <v>95</v>
      </c>
      <c r="J11">
        <v>79</v>
      </c>
      <c r="K11">
        <f t="shared" si="0"/>
        <v>431</v>
      </c>
      <c r="L11">
        <f t="shared" si="1"/>
        <v>86.2</v>
      </c>
      <c r="M11">
        <v>4</v>
      </c>
      <c r="N11" t="s">
        <v>16</v>
      </c>
      <c r="O11" t="s">
        <v>21</v>
      </c>
      <c r="P11">
        <f>AVERAGEIF(C1:C52,"EEE",M1:M52)</f>
        <v>3.5</v>
      </c>
      <c r="Q11">
        <f>AVERAGEIF(C4:C55,"EEE",E4:E55)</f>
        <v>78.2</v>
      </c>
    </row>
    <row r="12" spans="1:17" x14ac:dyDescent="0.3">
      <c r="A12">
        <v>11</v>
      </c>
      <c r="B12" t="s">
        <v>14</v>
      </c>
      <c r="C12" t="s">
        <v>15</v>
      </c>
      <c r="D12">
        <v>8</v>
      </c>
      <c r="E12">
        <v>93</v>
      </c>
      <c r="F12">
        <v>56</v>
      </c>
      <c r="G12">
        <v>51</v>
      </c>
      <c r="H12">
        <v>50</v>
      </c>
      <c r="I12">
        <v>67</v>
      </c>
      <c r="J12">
        <v>93</v>
      </c>
      <c r="K12">
        <f t="shared" si="0"/>
        <v>317</v>
      </c>
      <c r="L12">
        <f t="shared" si="1"/>
        <v>63.4</v>
      </c>
      <c r="M12">
        <v>3</v>
      </c>
      <c r="N12" t="s">
        <v>17</v>
      </c>
      <c r="O12" t="s">
        <v>25</v>
      </c>
      <c r="P12">
        <f>AVERAGEIF(C1:C52,"Mechanical",M1:M52)</f>
        <v>3.5</v>
      </c>
      <c r="Q12">
        <f>AVERAGEIF(C5:C56,"Mechanical",E5:E56)</f>
        <v>86</v>
      </c>
    </row>
    <row r="13" spans="1:17" x14ac:dyDescent="0.3">
      <c r="A13">
        <v>12</v>
      </c>
      <c r="B13" t="s">
        <v>14</v>
      </c>
      <c r="C13" t="s">
        <v>22</v>
      </c>
      <c r="D13">
        <v>1</v>
      </c>
      <c r="E13">
        <v>93</v>
      </c>
      <c r="F13">
        <v>100</v>
      </c>
      <c r="G13">
        <v>74</v>
      </c>
      <c r="H13">
        <v>76</v>
      </c>
      <c r="I13">
        <v>89</v>
      </c>
      <c r="J13">
        <v>50</v>
      </c>
      <c r="K13">
        <f t="shared" si="0"/>
        <v>389</v>
      </c>
      <c r="L13">
        <f t="shared" si="1"/>
        <v>77.8</v>
      </c>
      <c r="M13">
        <v>3.5</v>
      </c>
      <c r="N13" t="s">
        <v>20</v>
      </c>
    </row>
    <row r="14" spans="1:17" x14ac:dyDescent="0.3">
      <c r="A14">
        <v>13</v>
      </c>
      <c r="B14" t="s">
        <v>14</v>
      </c>
      <c r="C14" t="s">
        <v>19</v>
      </c>
      <c r="D14">
        <v>3</v>
      </c>
      <c r="E14">
        <v>97</v>
      </c>
      <c r="F14">
        <v>56</v>
      </c>
      <c r="G14">
        <v>98</v>
      </c>
      <c r="H14">
        <v>86</v>
      </c>
      <c r="I14">
        <v>96</v>
      </c>
      <c r="J14">
        <v>59</v>
      </c>
      <c r="K14">
        <f t="shared" si="0"/>
        <v>395</v>
      </c>
      <c r="L14">
        <f t="shared" si="1"/>
        <v>79</v>
      </c>
      <c r="M14">
        <v>3.5</v>
      </c>
      <c r="N14" t="s">
        <v>20</v>
      </c>
    </row>
    <row r="15" spans="1:17" x14ac:dyDescent="0.3">
      <c r="A15">
        <v>14</v>
      </c>
      <c r="B15" t="s">
        <v>14</v>
      </c>
      <c r="C15" t="s">
        <v>21</v>
      </c>
      <c r="D15">
        <v>8</v>
      </c>
      <c r="E15">
        <v>80</v>
      </c>
      <c r="F15">
        <v>96</v>
      </c>
      <c r="G15">
        <v>59</v>
      </c>
      <c r="H15">
        <v>79</v>
      </c>
      <c r="I15">
        <v>64</v>
      </c>
      <c r="J15">
        <v>75</v>
      </c>
      <c r="K15">
        <f t="shared" si="0"/>
        <v>373</v>
      </c>
      <c r="L15">
        <f t="shared" si="1"/>
        <v>74.599999999999994</v>
      </c>
      <c r="M15">
        <v>3.5</v>
      </c>
      <c r="N15" t="s">
        <v>20</v>
      </c>
    </row>
    <row r="16" spans="1:17" x14ac:dyDescent="0.3">
      <c r="A16">
        <v>15</v>
      </c>
      <c r="B16" t="s">
        <v>14</v>
      </c>
      <c r="C16" t="s">
        <v>22</v>
      </c>
      <c r="D16">
        <v>7</v>
      </c>
      <c r="E16">
        <v>88</v>
      </c>
      <c r="F16">
        <v>75</v>
      </c>
      <c r="G16">
        <v>62</v>
      </c>
      <c r="H16">
        <v>74</v>
      </c>
      <c r="I16">
        <v>91</v>
      </c>
      <c r="J16">
        <v>95</v>
      </c>
      <c r="K16">
        <f t="shared" si="0"/>
        <v>397</v>
      </c>
      <c r="L16">
        <f t="shared" si="1"/>
        <v>79.400000000000006</v>
      </c>
      <c r="M16">
        <v>3.5</v>
      </c>
      <c r="N16" t="s">
        <v>20</v>
      </c>
    </row>
    <row r="17" spans="1:14" x14ac:dyDescent="0.3">
      <c r="A17">
        <v>16</v>
      </c>
      <c r="B17" t="s">
        <v>14</v>
      </c>
      <c r="C17" t="s">
        <v>21</v>
      </c>
      <c r="D17">
        <v>5</v>
      </c>
      <c r="E17">
        <v>66</v>
      </c>
      <c r="F17">
        <v>75</v>
      </c>
      <c r="G17">
        <v>89</v>
      </c>
      <c r="H17">
        <v>57</v>
      </c>
      <c r="I17">
        <v>70</v>
      </c>
      <c r="J17">
        <v>60</v>
      </c>
      <c r="K17">
        <f t="shared" si="0"/>
        <v>351</v>
      </c>
      <c r="L17">
        <f t="shared" si="1"/>
        <v>70.199999999999989</v>
      </c>
      <c r="M17">
        <v>3.5</v>
      </c>
      <c r="N17" t="s">
        <v>20</v>
      </c>
    </row>
    <row r="18" spans="1:14" x14ac:dyDescent="0.3">
      <c r="A18">
        <v>17</v>
      </c>
      <c r="B18" t="s">
        <v>18</v>
      </c>
      <c r="C18" t="s">
        <v>19</v>
      </c>
      <c r="D18">
        <v>2</v>
      </c>
      <c r="E18">
        <v>78</v>
      </c>
      <c r="F18">
        <v>92</v>
      </c>
      <c r="G18">
        <v>87</v>
      </c>
      <c r="H18">
        <v>87</v>
      </c>
      <c r="I18">
        <v>75</v>
      </c>
      <c r="J18">
        <v>65</v>
      </c>
      <c r="K18">
        <f t="shared" si="0"/>
        <v>406</v>
      </c>
      <c r="L18">
        <f t="shared" si="1"/>
        <v>81.2</v>
      </c>
      <c r="M18">
        <v>3.5</v>
      </c>
      <c r="N18" t="s">
        <v>20</v>
      </c>
    </row>
    <row r="19" spans="1:14" x14ac:dyDescent="0.3">
      <c r="A19">
        <v>18</v>
      </c>
      <c r="B19" t="s">
        <v>18</v>
      </c>
      <c r="C19" t="s">
        <v>23</v>
      </c>
      <c r="D19">
        <v>5</v>
      </c>
      <c r="E19">
        <v>82</v>
      </c>
      <c r="F19">
        <v>64</v>
      </c>
      <c r="G19">
        <v>59</v>
      </c>
      <c r="H19">
        <v>93</v>
      </c>
      <c r="I19">
        <v>70</v>
      </c>
      <c r="J19">
        <v>60</v>
      </c>
      <c r="K19">
        <f t="shared" si="0"/>
        <v>346</v>
      </c>
      <c r="L19">
        <f t="shared" si="1"/>
        <v>69.199999999999989</v>
      </c>
      <c r="M19">
        <v>3</v>
      </c>
      <c r="N19" t="s">
        <v>17</v>
      </c>
    </row>
    <row r="20" spans="1:14" x14ac:dyDescent="0.3">
      <c r="A20">
        <v>19</v>
      </c>
      <c r="B20" t="s">
        <v>18</v>
      </c>
      <c r="C20" t="s">
        <v>21</v>
      </c>
      <c r="D20">
        <v>3</v>
      </c>
      <c r="E20">
        <v>77</v>
      </c>
      <c r="F20">
        <v>89</v>
      </c>
      <c r="G20">
        <v>59</v>
      </c>
      <c r="H20">
        <v>99</v>
      </c>
      <c r="I20">
        <v>84</v>
      </c>
      <c r="J20">
        <v>76</v>
      </c>
      <c r="K20">
        <f t="shared" si="0"/>
        <v>407</v>
      </c>
      <c r="L20">
        <f t="shared" si="1"/>
        <v>81.399999999999991</v>
      </c>
      <c r="M20">
        <v>3.5</v>
      </c>
      <c r="N20" t="s">
        <v>20</v>
      </c>
    </row>
    <row r="21" spans="1:14" x14ac:dyDescent="0.3">
      <c r="A21">
        <v>20</v>
      </c>
      <c r="B21" t="s">
        <v>14</v>
      </c>
      <c r="C21" t="s">
        <v>21</v>
      </c>
      <c r="D21">
        <v>1</v>
      </c>
      <c r="E21">
        <v>90</v>
      </c>
      <c r="F21">
        <v>98</v>
      </c>
      <c r="G21">
        <v>100</v>
      </c>
      <c r="H21">
        <v>61</v>
      </c>
      <c r="I21">
        <v>59</v>
      </c>
      <c r="J21">
        <v>62</v>
      </c>
      <c r="K21">
        <f t="shared" si="0"/>
        <v>380</v>
      </c>
      <c r="L21">
        <f t="shared" si="1"/>
        <v>76</v>
      </c>
      <c r="M21">
        <v>3.5</v>
      </c>
      <c r="N21" t="s">
        <v>20</v>
      </c>
    </row>
    <row r="22" spans="1:14" x14ac:dyDescent="0.3">
      <c r="A22">
        <v>21</v>
      </c>
      <c r="B22" t="s">
        <v>18</v>
      </c>
      <c r="C22" t="s">
        <v>22</v>
      </c>
      <c r="D22">
        <v>6</v>
      </c>
      <c r="E22">
        <v>66</v>
      </c>
      <c r="F22">
        <v>74</v>
      </c>
      <c r="G22">
        <v>73</v>
      </c>
      <c r="H22">
        <v>76</v>
      </c>
      <c r="I22">
        <v>76</v>
      </c>
      <c r="J22">
        <v>86</v>
      </c>
      <c r="K22">
        <f t="shared" si="0"/>
        <v>385</v>
      </c>
      <c r="L22">
        <f t="shared" si="1"/>
        <v>77</v>
      </c>
      <c r="M22">
        <v>3.5</v>
      </c>
      <c r="N22" t="s">
        <v>20</v>
      </c>
    </row>
    <row r="23" spans="1:14" x14ac:dyDescent="0.3">
      <c r="A23">
        <v>22</v>
      </c>
      <c r="B23" t="s">
        <v>14</v>
      </c>
      <c r="C23" t="s">
        <v>19</v>
      </c>
      <c r="D23">
        <v>5</v>
      </c>
      <c r="E23">
        <v>75</v>
      </c>
      <c r="F23">
        <v>68</v>
      </c>
      <c r="G23">
        <v>56</v>
      </c>
      <c r="H23">
        <v>78</v>
      </c>
      <c r="I23">
        <v>100</v>
      </c>
      <c r="J23">
        <v>67</v>
      </c>
      <c r="K23">
        <f t="shared" si="0"/>
        <v>369</v>
      </c>
      <c r="L23">
        <f t="shared" si="1"/>
        <v>73.8</v>
      </c>
      <c r="M23">
        <v>3.5</v>
      </c>
      <c r="N23" t="s">
        <v>20</v>
      </c>
    </row>
    <row r="24" spans="1:14" x14ac:dyDescent="0.3">
      <c r="A24">
        <v>23</v>
      </c>
      <c r="B24" t="s">
        <v>14</v>
      </c>
      <c r="C24" t="s">
        <v>22</v>
      </c>
      <c r="D24">
        <v>4</v>
      </c>
      <c r="E24">
        <v>71</v>
      </c>
      <c r="F24">
        <v>82</v>
      </c>
      <c r="G24">
        <v>73</v>
      </c>
      <c r="H24">
        <v>90</v>
      </c>
      <c r="I24">
        <v>90</v>
      </c>
      <c r="J24">
        <v>72</v>
      </c>
      <c r="K24">
        <f t="shared" si="0"/>
        <v>407</v>
      </c>
      <c r="L24">
        <f t="shared" si="1"/>
        <v>81.399999999999991</v>
      </c>
      <c r="M24">
        <v>3.5</v>
      </c>
      <c r="N24" t="s">
        <v>20</v>
      </c>
    </row>
    <row r="25" spans="1:14" x14ac:dyDescent="0.3">
      <c r="A25">
        <v>24</v>
      </c>
      <c r="B25" t="s">
        <v>18</v>
      </c>
      <c r="C25" t="s">
        <v>19</v>
      </c>
      <c r="D25">
        <v>3</v>
      </c>
      <c r="E25">
        <v>67</v>
      </c>
      <c r="F25">
        <v>78</v>
      </c>
      <c r="G25">
        <v>56</v>
      </c>
      <c r="H25">
        <v>80</v>
      </c>
      <c r="I25">
        <v>85</v>
      </c>
      <c r="J25">
        <v>68</v>
      </c>
      <c r="K25">
        <f t="shared" si="0"/>
        <v>367</v>
      </c>
      <c r="L25">
        <f t="shared" si="1"/>
        <v>73.400000000000006</v>
      </c>
      <c r="M25">
        <v>3.5</v>
      </c>
      <c r="N25" t="s">
        <v>20</v>
      </c>
    </row>
    <row r="26" spans="1:14" x14ac:dyDescent="0.3">
      <c r="A26">
        <v>25</v>
      </c>
      <c r="B26" t="s">
        <v>18</v>
      </c>
      <c r="C26" t="s">
        <v>23</v>
      </c>
      <c r="D26">
        <v>5</v>
      </c>
      <c r="E26">
        <v>68</v>
      </c>
      <c r="F26">
        <v>66</v>
      </c>
      <c r="G26">
        <v>55</v>
      </c>
      <c r="H26">
        <v>63</v>
      </c>
      <c r="I26">
        <v>57</v>
      </c>
      <c r="J26">
        <v>72</v>
      </c>
      <c r="K26">
        <f t="shared" si="0"/>
        <v>313</v>
      </c>
      <c r="L26">
        <f t="shared" si="1"/>
        <v>62.6</v>
      </c>
      <c r="M26">
        <v>3</v>
      </c>
      <c r="N26" t="s">
        <v>17</v>
      </c>
    </row>
    <row r="27" spans="1:14" x14ac:dyDescent="0.3">
      <c r="A27">
        <v>26</v>
      </c>
      <c r="B27" t="s">
        <v>14</v>
      </c>
      <c r="C27" t="s">
        <v>19</v>
      </c>
      <c r="D27">
        <v>4</v>
      </c>
      <c r="E27">
        <v>72</v>
      </c>
      <c r="F27">
        <v>81</v>
      </c>
      <c r="G27">
        <v>75</v>
      </c>
      <c r="H27">
        <v>100</v>
      </c>
      <c r="I27">
        <v>77</v>
      </c>
      <c r="J27">
        <v>89</v>
      </c>
      <c r="K27">
        <f t="shared" si="0"/>
        <v>422</v>
      </c>
      <c r="L27">
        <f t="shared" si="1"/>
        <v>84.399999999999991</v>
      </c>
      <c r="M27">
        <v>3.5</v>
      </c>
      <c r="N27" t="s">
        <v>20</v>
      </c>
    </row>
    <row r="28" spans="1:14" x14ac:dyDescent="0.3">
      <c r="A28">
        <v>27</v>
      </c>
      <c r="B28" t="s">
        <v>14</v>
      </c>
      <c r="C28" t="s">
        <v>23</v>
      </c>
      <c r="D28">
        <v>3</v>
      </c>
      <c r="E28">
        <v>72</v>
      </c>
      <c r="F28">
        <v>83</v>
      </c>
      <c r="G28">
        <v>58</v>
      </c>
      <c r="H28">
        <v>54</v>
      </c>
      <c r="I28">
        <v>100</v>
      </c>
      <c r="J28">
        <v>51</v>
      </c>
      <c r="K28">
        <f t="shared" si="0"/>
        <v>346</v>
      </c>
      <c r="L28">
        <f t="shared" si="1"/>
        <v>69.199999999999989</v>
      </c>
      <c r="M28">
        <v>3</v>
      </c>
      <c r="N28" t="s">
        <v>17</v>
      </c>
    </row>
    <row r="29" spans="1:14" x14ac:dyDescent="0.3">
      <c r="A29">
        <v>28</v>
      </c>
      <c r="B29" t="s">
        <v>18</v>
      </c>
      <c r="C29" t="s">
        <v>15</v>
      </c>
      <c r="D29">
        <v>3</v>
      </c>
      <c r="E29">
        <v>89</v>
      </c>
      <c r="F29">
        <v>88</v>
      </c>
      <c r="G29">
        <v>95</v>
      </c>
      <c r="H29">
        <v>79</v>
      </c>
      <c r="I29">
        <v>86</v>
      </c>
      <c r="J29">
        <v>88</v>
      </c>
      <c r="K29">
        <f t="shared" si="0"/>
        <v>436</v>
      </c>
      <c r="L29">
        <f t="shared" si="1"/>
        <v>87.2</v>
      </c>
      <c r="M29">
        <v>4</v>
      </c>
      <c r="N29" t="s">
        <v>16</v>
      </c>
    </row>
    <row r="30" spans="1:14" x14ac:dyDescent="0.3">
      <c r="A30">
        <v>29</v>
      </c>
      <c r="B30" t="s">
        <v>18</v>
      </c>
      <c r="C30" t="s">
        <v>22</v>
      </c>
      <c r="D30">
        <v>2</v>
      </c>
      <c r="E30">
        <v>92</v>
      </c>
      <c r="F30">
        <v>66</v>
      </c>
      <c r="G30">
        <v>56</v>
      </c>
      <c r="H30">
        <v>89</v>
      </c>
      <c r="I30">
        <v>100</v>
      </c>
      <c r="J30">
        <v>84</v>
      </c>
      <c r="K30">
        <f t="shared" si="0"/>
        <v>395</v>
      </c>
      <c r="L30">
        <f t="shared" si="1"/>
        <v>79</v>
      </c>
      <c r="M30">
        <v>3.5</v>
      </c>
      <c r="N30" t="s">
        <v>20</v>
      </c>
    </row>
    <row r="31" spans="1:14" x14ac:dyDescent="0.3">
      <c r="A31">
        <v>30</v>
      </c>
      <c r="B31" t="s">
        <v>14</v>
      </c>
      <c r="C31" t="s">
        <v>19</v>
      </c>
      <c r="D31">
        <v>5</v>
      </c>
      <c r="E31">
        <v>66</v>
      </c>
      <c r="F31">
        <v>92</v>
      </c>
      <c r="G31">
        <v>80</v>
      </c>
      <c r="H31">
        <v>80</v>
      </c>
      <c r="I31">
        <v>84</v>
      </c>
      <c r="J31">
        <v>78</v>
      </c>
      <c r="K31">
        <f t="shared" si="0"/>
        <v>414</v>
      </c>
      <c r="L31">
        <f t="shared" si="1"/>
        <v>82.8</v>
      </c>
      <c r="M31">
        <v>3.5</v>
      </c>
      <c r="N31" t="s">
        <v>20</v>
      </c>
    </row>
    <row r="32" spans="1:14" x14ac:dyDescent="0.3">
      <c r="A32">
        <v>31</v>
      </c>
      <c r="B32" t="s">
        <v>14</v>
      </c>
      <c r="C32" t="s">
        <v>22</v>
      </c>
      <c r="D32">
        <v>3</v>
      </c>
      <c r="E32">
        <v>73</v>
      </c>
      <c r="F32">
        <v>57</v>
      </c>
      <c r="G32">
        <v>95</v>
      </c>
      <c r="H32">
        <v>69</v>
      </c>
      <c r="I32">
        <v>72</v>
      </c>
      <c r="J32">
        <v>69</v>
      </c>
      <c r="K32">
        <f t="shared" si="0"/>
        <v>362</v>
      </c>
      <c r="L32">
        <f t="shared" si="1"/>
        <v>72.399999999999991</v>
      </c>
      <c r="M32">
        <v>3.5</v>
      </c>
      <c r="N32" t="s">
        <v>20</v>
      </c>
    </row>
    <row r="33" spans="1:14" x14ac:dyDescent="0.3">
      <c r="A33">
        <v>32</v>
      </c>
      <c r="B33" t="s">
        <v>18</v>
      </c>
      <c r="C33" t="s">
        <v>15</v>
      </c>
      <c r="D33">
        <v>8</v>
      </c>
      <c r="E33">
        <v>98</v>
      </c>
      <c r="F33">
        <v>58</v>
      </c>
      <c r="G33">
        <v>75</v>
      </c>
      <c r="H33">
        <v>69</v>
      </c>
      <c r="I33">
        <v>83</v>
      </c>
      <c r="J33">
        <v>65</v>
      </c>
      <c r="K33">
        <f t="shared" si="0"/>
        <v>350</v>
      </c>
      <c r="L33">
        <f t="shared" si="1"/>
        <v>70</v>
      </c>
      <c r="M33">
        <v>3.5</v>
      </c>
      <c r="N33" t="s">
        <v>20</v>
      </c>
    </row>
    <row r="34" spans="1:14" x14ac:dyDescent="0.3">
      <c r="A34">
        <v>33</v>
      </c>
      <c r="B34" t="s">
        <v>14</v>
      </c>
      <c r="C34" t="s">
        <v>15</v>
      </c>
      <c r="D34">
        <v>2</v>
      </c>
      <c r="E34">
        <v>75</v>
      </c>
      <c r="F34">
        <v>72</v>
      </c>
      <c r="G34">
        <v>98</v>
      </c>
      <c r="H34">
        <v>52</v>
      </c>
      <c r="I34">
        <v>87</v>
      </c>
      <c r="J34">
        <v>85</v>
      </c>
      <c r="K34">
        <f t="shared" ref="K34:K51" si="2">SUM(F34:J34)</f>
        <v>394</v>
      </c>
      <c r="L34">
        <f t="shared" si="1"/>
        <v>78.8</v>
      </c>
      <c r="M34">
        <v>3.5</v>
      </c>
      <c r="N34" t="s">
        <v>20</v>
      </c>
    </row>
    <row r="35" spans="1:14" x14ac:dyDescent="0.3">
      <c r="A35">
        <v>34</v>
      </c>
      <c r="B35" t="s">
        <v>18</v>
      </c>
      <c r="C35" t="s">
        <v>19</v>
      </c>
      <c r="D35">
        <v>2</v>
      </c>
      <c r="E35">
        <v>98</v>
      </c>
      <c r="F35">
        <v>86</v>
      </c>
      <c r="G35">
        <v>56</v>
      </c>
      <c r="H35">
        <v>50</v>
      </c>
      <c r="I35">
        <v>72</v>
      </c>
      <c r="J35">
        <v>64</v>
      </c>
      <c r="K35">
        <f t="shared" si="2"/>
        <v>328</v>
      </c>
      <c r="L35">
        <f t="shared" si="1"/>
        <v>65.600000000000009</v>
      </c>
      <c r="M35">
        <v>3</v>
      </c>
      <c r="N35" t="s">
        <v>17</v>
      </c>
    </row>
    <row r="36" spans="1:14" x14ac:dyDescent="0.3">
      <c r="A36">
        <v>35</v>
      </c>
      <c r="B36" t="s">
        <v>18</v>
      </c>
      <c r="C36" t="s">
        <v>23</v>
      </c>
      <c r="D36">
        <v>8</v>
      </c>
      <c r="E36">
        <v>82</v>
      </c>
      <c r="F36">
        <v>53</v>
      </c>
      <c r="G36">
        <v>81</v>
      </c>
      <c r="H36">
        <v>51</v>
      </c>
      <c r="I36">
        <v>85</v>
      </c>
      <c r="J36">
        <v>53</v>
      </c>
      <c r="K36">
        <f t="shared" si="2"/>
        <v>323</v>
      </c>
      <c r="L36">
        <f t="shared" si="1"/>
        <v>64.600000000000009</v>
      </c>
      <c r="M36">
        <v>3</v>
      </c>
      <c r="N36" t="s">
        <v>17</v>
      </c>
    </row>
    <row r="37" spans="1:14" x14ac:dyDescent="0.3">
      <c r="A37">
        <v>36</v>
      </c>
      <c r="B37" t="s">
        <v>14</v>
      </c>
      <c r="C37" t="s">
        <v>21</v>
      </c>
      <c r="D37">
        <v>5</v>
      </c>
      <c r="E37">
        <v>84</v>
      </c>
      <c r="F37">
        <v>84</v>
      </c>
      <c r="G37">
        <v>94</v>
      </c>
      <c r="H37">
        <v>73</v>
      </c>
      <c r="I37">
        <v>51</v>
      </c>
      <c r="J37">
        <v>89</v>
      </c>
      <c r="K37">
        <f t="shared" si="2"/>
        <v>391</v>
      </c>
      <c r="L37">
        <f t="shared" si="1"/>
        <v>78.2</v>
      </c>
      <c r="M37">
        <v>3.5</v>
      </c>
      <c r="N37" t="s">
        <v>20</v>
      </c>
    </row>
    <row r="38" spans="1:14" x14ac:dyDescent="0.3">
      <c r="A38">
        <v>37</v>
      </c>
      <c r="B38" t="s">
        <v>14</v>
      </c>
      <c r="C38" t="s">
        <v>22</v>
      </c>
      <c r="D38">
        <v>5</v>
      </c>
      <c r="E38">
        <v>86</v>
      </c>
      <c r="F38">
        <v>100</v>
      </c>
      <c r="G38">
        <v>69</v>
      </c>
      <c r="H38">
        <v>52</v>
      </c>
      <c r="I38">
        <v>61</v>
      </c>
      <c r="J38">
        <v>85</v>
      </c>
      <c r="K38">
        <f t="shared" si="2"/>
        <v>367</v>
      </c>
      <c r="L38">
        <f t="shared" si="1"/>
        <v>73.400000000000006</v>
      </c>
      <c r="M38">
        <v>3.5</v>
      </c>
      <c r="N38" t="s">
        <v>20</v>
      </c>
    </row>
    <row r="39" spans="1:14" x14ac:dyDescent="0.3">
      <c r="A39">
        <v>38</v>
      </c>
      <c r="B39" t="s">
        <v>14</v>
      </c>
      <c r="C39" t="s">
        <v>21</v>
      </c>
      <c r="D39">
        <v>3</v>
      </c>
      <c r="E39">
        <v>85</v>
      </c>
      <c r="F39">
        <v>62</v>
      </c>
      <c r="G39">
        <v>69</v>
      </c>
      <c r="H39">
        <v>55</v>
      </c>
      <c r="I39">
        <v>83</v>
      </c>
      <c r="J39">
        <v>66</v>
      </c>
      <c r="K39">
        <f t="shared" si="2"/>
        <v>335</v>
      </c>
      <c r="L39">
        <f t="shared" si="1"/>
        <v>67</v>
      </c>
      <c r="M39">
        <v>3</v>
      </c>
      <c r="N39" t="s">
        <v>17</v>
      </c>
    </row>
    <row r="40" spans="1:14" x14ac:dyDescent="0.3">
      <c r="A40">
        <v>39</v>
      </c>
      <c r="B40" t="s">
        <v>14</v>
      </c>
      <c r="C40" t="s">
        <v>15</v>
      </c>
      <c r="D40">
        <v>7</v>
      </c>
      <c r="E40">
        <v>77</v>
      </c>
      <c r="F40">
        <v>65</v>
      </c>
      <c r="G40">
        <v>91</v>
      </c>
      <c r="H40">
        <v>74</v>
      </c>
      <c r="I40">
        <v>69</v>
      </c>
      <c r="J40">
        <v>59</v>
      </c>
      <c r="K40">
        <f t="shared" si="2"/>
        <v>358</v>
      </c>
      <c r="L40">
        <f t="shared" si="1"/>
        <v>71.599999999999994</v>
      </c>
      <c r="M40">
        <v>3.5</v>
      </c>
      <c r="N40" t="s">
        <v>20</v>
      </c>
    </row>
    <row r="41" spans="1:14" x14ac:dyDescent="0.3">
      <c r="A41">
        <v>40</v>
      </c>
      <c r="B41" t="s">
        <v>14</v>
      </c>
      <c r="C41" t="s">
        <v>21</v>
      </c>
      <c r="D41">
        <v>8</v>
      </c>
      <c r="E41">
        <v>66</v>
      </c>
      <c r="F41">
        <v>87</v>
      </c>
      <c r="G41">
        <v>51</v>
      </c>
      <c r="H41">
        <v>65</v>
      </c>
      <c r="I41">
        <v>87</v>
      </c>
      <c r="J41">
        <v>63</v>
      </c>
      <c r="K41">
        <f t="shared" si="2"/>
        <v>353</v>
      </c>
      <c r="L41">
        <f t="shared" si="1"/>
        <v>70.599999999999994</v>
      </c>
      <c r="M41">
        <v>3.5</v>
      </c>
      <c r="N41" t="s">
        <v>20</v>
      </c>
    </row>
    <row r="42" spans="1:14" x14ac:dyDescent="0.3">
      <c r="A42">
        <v>41</v>
      </c>
      <c r="B42" t="s">
        <v>18</v>
      </c>
      <c r="C42" t="s">
        <v>22</v>
      </c>
      <c r="D42">
        <v>5</v>
      </c>
      <c r="E42">
        <v>80</v>
      </c>
      <c r="F42">
        <v>85</v>
      </c>
      <c r="G42">
        <v>65</v>
      </c>
      <c r="H42">
        <v>79</v>
      </c>
      <c r="I42">
        <v>72</v>
      </c>
      <c r="J42">
        <v>82</v>
      </c>
      <c r="K42">
        <f t="shared" si="2"/>
        <v>383</v>
      </c>
      <c r="L42">
        <f t="shared" si="1"/>
        <v>76.599999999999994</v>
      </c>
      <c r="M42">
        <v>3.5</v>
      </c>
      <c r="N42" t="s">
        <v>20</v>
      </c>
    </row>
    <row r="43" spans="1:14" x14ac:dyDescent="0.3">
      <c r="A43">
        <v>42</v>
      </c>
      <c r="B43" t="s">
        <v>14</v>
      </c>
      <c r="C43" t="s">
        <v>15</v>
      </c>
      <c r="D43">
        <v>1</v>
      </c>
      <c r="E43">
        <v>98</v>
      </c>
      <c r="F43">
        <v>98</v>
      </c>
      <c r="G43">
        <v>80</v>
      </c>
      <c r="H43">
        <v>57</v>
      </c>
      <c r="I43">
        <v>70</v>
      </c>
      <c r="J43">
        <v>90</v>
      </c>
      <c r="K43">
        <f t="shared" si="2"/>
        <v>395</v>
      </c>
      <c r="L43">
        <f t="shared" si="1"/>
        <v>79</v>
      </c>
      <c r="M43">
        <v>3.5</v>
      </c>
      <c r="N43" t="s">
        <v>20</v>
      </c>
    </row>
    <row r="44" spans="1:14" x14ac:dyDescent="0.3">
      <c r="A44">
        <v>43</v>
      </c>
      <c r="B44" t="s">
        <v>18</v>
      </c>
      <c r="C44" t="s">
        <v>22</v>
      </c>
      <c r="D44">
        <v>7</v>
      </c>
      <c r="E44">
        <v>95</v>
      </c>
      <c r="F44">
        <v>79</v>
      </c>
      <c r="G44">
        <v>69</v>
      </c>
      <c r="H44">
        <v>95</v>
      </c>
      <c r="I44">
        <v>79</v>
      </c>
      <c r="J44">
        <v>64</v>
      </c>
      <c r="K44">
        <f t="shared" si="2"/>
        <v>386</v>
      </c>
      <c r="L44">
        <f t="shared" si="1"/>
        <v>77.2</v>
      </c>
      <c r="M44">
        <v>3.5</v>
      </c>
      <c r="N44" t="s">
        <v>20</v>
      </c>
    </row>
    <row r="45" spans="1:14" x14ac:dyDescent="0.3">
      <c r="A45">
        <v>44</v>
      </c>
      <c r="B45" t="s">
        <v>18</v>
      </c>
      <c r="C45" t="s">
        <v>19</v>
      </c>
      <c r="D45">
        <v>2</v>
      </c>
      <c r="E45">
        <v>85</v>
      </c>
      <c r="F45">
        <v>57</v>
      </c>
      <c r="G45">
        <v>57</v>
      </c>
      <c r="H45">
        <v>69</v>
      </c>
      <c r="I45">
        <v>60</v>
      </c>
      <c r="J45">
        <v>92</v>
      </c>
      <c r="K45">
        <f t="shared" si="2"/>
        <v>335</v>
      </c>
      <c r="L45">
        <f t="shared" si="1"/>
        <v>67</v>
      </c>
      <c r="M45">
        <v>3</v>
      </c>
      <c r="N45" t="s">
        <v>17</v>
      </c>
    </row>
    <row r="46" spans="1:14" x14ac:dyDescent="0.3">
      <c r="A46">
        <v>45</v>
      </c>
      <c r="B46" t="s">
        <v>18</v>
      </c>
      <c r="C46" t="s">
        <v>23</v>
      </c>
      <c r="D46">
        <v>4</v>
      </c>
      <c r="E46">
        <v>78</v>
      </c>
      <c r="F46">
        <v>71</v>
      </c>
      <c r="G46">
        <v>69</v>
      </c>
      <c r="H46">
        <v>88</v>
      </c>
      <c r="I46">
        <v>59</v>
      </c>
      <c r="J46">
        <v>92</v>
      </c>
      <c r="K46">
        <f t="shared" si="2"/>
        <v>379</v>
      </c>
      <c r="L46">
        <f t="shared" si="1"/>
        <v>75.8</v>
      </c>
      <c r="M46">
        <v>3.5</v>
      </c>
      <c r="N46" t="s">
        <v>20</v>
      </c>
    </row>
    <row r="47" spans="1:14" x14ac:dyDescent="0.3">
      <c r="A47">
        <v>46</v>
      </c>
      <c r="B47" t="s">
        <v>14</v>
      </c>
      <c r="C47" t="s">
        <v>22</v>
      </c>
      <c r="D47">
        <v>7</v>
      </c>
      <c r="E47">
        <v>70</v>
      </c>
      <c r="F47">
        <v>81</v>
      </c>
      <c r="G47">
        <v>93</v>
      </c>
      <c r="H47">
        <v>66</v>
      </c>
      <c r="I47">
        <v>82</v>
      </c>
      <c r="J47">
        <v>88</v>
      </c>
      <c r="K47">
        <f t="shared" si="2"/>
        <v>410</v>
      </c>
      <c r="L47">
        <f t="shared" si="1"/>
        <v>82</v>
      </c>
      <c r="M47">
        <v>3.5</v>
      </c>
      <c r="N47" t="s">
        <v>20</v>
      </c>
    </row>
    <row r="48" spans="1:14" x14ac:dyDescent="0.3">
      <c r="A48">
        <v>47</v>
      </c>
      <c r="B48" t="s">
        <v>18</v>
      </c>
      <c r="C48" t="s">
        <v>22</v>
      </c>
      <c r="D48">
        <v>7</v>
      </c>
      <c r="E48">
        <v>70</v>
      </c>
      <c r="F48">
        <v>82</v>
      </c>
      <c r="G48">
        <v>83</v>
      </c>
      <c r="H48">
        <v>86</v>
      </c>
      <c r="I48">
        <v>58</v>
      </c>
      <c r="J48">
        <v>61</v>
      </c>
      <c r="K48">
        <f t="shared" si="2"/>
        <v>370</v>
      </c>
      <c r="L48">
        <f t="shared" si="1"/>
        <v>74</v>
      </c>
      <c r="M48">
        <v>3.5</v>
      </c>
      <c r="N48" t="s">
        <v>20</v>
      </c>
    </row>
    <row r="49" spans="1:14" x14ac:dyDescent="0.3">
      <c r="A49">
        <v>48</v>
      </c>
      <c r="B49" t="s">
        <v>14</v>
      </c>
      <c r="C49" t="s">
        <v>15</v>
      </c>
      <c r="D49">
        <v>1</v>
      </c>
      <c r="E49">
        <v>77</v>
      </c>
      <c r="F49">
        <v>64</v>
      </c>
      <c r="G49">
        <v>96</v>
      </c>
      <c r="H49">
        <v>96</v>
      </c>
      <c r="I49">
        <v>66</v>
      </c>
      <c r="J49">
        <v>80</v>
      </c>
      <c r="K49">
        <f t="shared" si="2"/>
        <v>402</v>
      </c>
      <c r="L49">
        <f t="shared" si="1"/>
        <v>80.400000000000006</v>
      </c>
      <c r="M49">
        <v>3.5</v>
      </c>
      <c r="N49" t="s">
        <v>20</v>
      </c>
    </row>
    <row r="50" spans="1:14" x14ac:dyDescent="0.3">
      <c r="A50">
        <v>49</v>
      </c>
      <c r="B50" t="s">
        <v>14</v>
      </c>
      <c r="C50" t="s">
        <v>22</v>
      </c>
      <c r="D50">
        <v>4</v>
      </c>
      <c r="E50">
        <v>96</v>
      </c>
      <c r="F50">
        <v>68</v>
      </c>
      <c r="G50">
        <v>84</v>
      </c>
      <c r="H50">
        <v>55</v>
      </c>
      <c r="I50">
        <v>89</v>
      </c>
      <c r="J50">
        <v>97</v>
      </c>
      <c r="K50">
        <f t="shared" si="2"/>
        <v>393</v>
      </c>
      <c r="L50">
        <f t="shared" si="1"/>
        <v>78.600000000000009</v>
      </c>
      <c r="M50">
        <v>3.5</v>
      </c>
      <c r="N50" t="s">
        <v>20</v>
      </c>
    </row>
    <row r="51" spans="1:14" x14ac:dyDescent="0.3">
      <c r="A51">
        <v>50</v>
      </c>
      <c r="B51" t="s">
        <v>18</v>
      </c>
      <c r="C51" t="s">
        <v>23</v>
      </c>
      <c r="D51">
        <v>4</v>
      </c>
      <c r="E51">
        <v>87</v>
      </c>
      <c r="F51">
        <v>68</v>
      </c>
      <c r="G51">
        <v>97</v>
      </c>
      <c r="H51">
        <v>53</v>
      </c>
      <c r="I51">
        <v>90</v>
      </c>
      <c r="J51">
        <v>69</v>
      </c>
      <c r="K51">
        <f t="shared" si="2"/>
        <v>377</v>
      </c>
      <c r="L51">
        <f t="shared" si="1"/>
        <v>75.400000000000006</v>
      </c>
      <c r="M51">
        <v>3.5</v>
      </c>
      <c r="N51" t="s">
        <v>20</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37FF-0C67-484C-B087-1E357C242CEB}">
  <dimension ref="A3:K54"/>
  <sheetViews>
    <sheetView topLeftCell="B10" workbookViewId="0">
      <selection activeCell="M44" sqref="M44"/>
    </sheetView>
  </sheetViews>
  <sheetFormatPr defaultRowHeight="14.4" x14ac:dyDescent="0.3"/>
  <cols>
    <col min="1" max="1" width="12.5546875" bestFit="1" customWidth="1"/>
    <col min="2" max="2" width="19.88671875" bestFit="1" customWidth="1"/>
    <col min="4" max="4" width="12.5546875" bestFit="1" customWidth="1"/>
    <col min="5" max="5" width="14.109375" bestFit="1" customWidth="1"/>
    <col min="7" max="7" width="12.5546875" bestFit="1" customWidth="1"/>
    <col min="8" max="8" width="18.44140625" bestFit="1" customWidth="1"/>
    <col min="10" max="10" width="12.5546875" bestFit="1" customWidth="1"/>
    <col min="11" max="11" width="20.6640625" bestFit="1" customWidth="1"/>
    <col min="12" max="12" width="12.5546875" bestFit="1" customWidth="1"/>
    <col min="13" max="13" width="20.6640625" bestFit="1" customWidth="1"/>
  </cols>
  <sheetData>
    <row r="3" spans="1:11" x14ac:dyDescent="0.3">
      <c r="A3" s="1" t="s">
        <v>31</v>
      </c>
      <c r="B3" t="s">
        <v>29</v>
      </c>
      <c r="D3" s="1" t="s">
        <v>31</v>
      </c>
      <c r="E3" t="s">
        <v>34</v>
      </c>
      <c r="G3" s="1" t="s">
        <v>31</v>
      </c>
      <c r="H3" t="s">
        <v>30</v>
      </c>
      <c r="J3" s="1" t="s">
        <v>31</v>
      </c>
      <c r="K3" t="s">
        <v>35</v>
      </c>
    </row>
    <row r="4" spans="1:11" x14ac:dyDescent="0.3">
      <c r="A4" s="2">
        <v>1</v>
      </c>
      <c r="B4" s="3">
        <v>88</v>
      </c>
      <c r="D4" s="2" t="s">
        <v>24</v>
      </c>
      <c r="E4" s="3">
        <v>3.1666666666666665</v>
      </c>
      <c r="G4" s="2" t="s">
        <v>18</v>
      </c>
      <c r="H4" s="3">
        <v>20</v>
      </c>
      <c r="J4" s="2" t="s">
        <v>24</v>
      </c>
      <c r="K4" s="3">
        <v>78.166666666666671</v>
      </c>
    </row>
    <row r="5" spans="1:11" x14ac:dyDescent="0.3">
      <c r="A5" s="2">
        <v>2</v>
      </c>
      <c r="B5" s="3">
        <v>87</v>
      </c>
      <c r="D5" s="2" t="s">
        <v>19</v>
      </c>
      <c r="E5" s="3">
        <v>3.4090909090909092</v>
      </c>
      <c r="G5" s="2" t="s">
        <v>14</v>
      </c>
      <c r="H5" s="3">
        <v>30</v>
      </c>
      <c r="J5" s="2" t="s">
        <v>19</v>
      </c>
      <c r="K5" s="3">
        <v>81.36363636363636</v>
      </c>
    </row>
    <row r="6" spans="1:11" x14ac:dyDescent="0.3">
      <c r="A6" s="2">
        <v>3</v>
      </c>
      <c r="B6" s="3">
        <v>97</v>
      </c>
      <c r="D6" s="2" t="s">
        <v>22</v>
      </c>
      <c r="E6" s="3">
        <v>3.4615384615384617</v>
      </c>
      <c r="G6" s="2" t="s">
        <v>32</v>
      </c>
      <c r="H6" s="3">
        <v>50</v>
      </c>
      <c r="J6" s="2" t="s">
        <v>22</v>
      </c>
      <c r="K6" s="3">
        <v>82.92307692307692</v>
      </c>
    </row>
    <row r="7" spans="1:11" x14ac:dyDescent="0.3">
      <c r="A7" s="2">
        <v>4</v>
      </c>
      <c r="B7" s="3">
        <v>79</v>
      </c>
      <c r="D7" s="2" t="s">
        <v>21</v>
      </c>
      <c r="E7" s="3">
        <v>3.5</v>
      </c>
      <c r="J7" s="2" t="s">
        <v>21</v>
      </c>
      <c r="K7" s="3">
        <v>78.2</v>
      </c>
    </row>
    <row r="8" spans="1:11" x14ac:dyDescent="0.3">
      <c r="A8" s="2">
        <v>5</v>
      </c>
      <c r="B8" s="3">
        <v>98</v>
      </c>
      <c r="D8" s="2" t="s">
        <v>25</v>
      </c>
      <c r="E8" s="3">
        <v>3.5</v>
      </c>
      <c r="J8" s="2" t="s">
        <v>25</v>
      </c>
      <c r="K8" s="3">
        <v>86</v>
      </c>
    </row>
    <row r="9" spans="1:11" x14ac:dyDescent="0.3">
      <c r="A9" s="2">
        <v>6</v>
      </c>
      <c r="B9" s="3">
        <v>81</v>
      </c>
      <c r="D9" s="2" t="s">
        <v>33</v>
      </c>
      <c r="E9" s="3"/>
      <c r="J9" s="2" t="s">
        <v>33</v>
      </c>
      <c r="K9" s="3"/>
    </row>
    <row r="10" spans="1:11" x14ac:dyDescent="0.3">
      <c r="A10" s="2">
        <v>7</v>
      </c>
      <c r="B10" s="3">
        <v>81</v>
      </c>
      <c r="D10" s="2" t="s">
        <v>32</v>
      </c>
      <c r="E10" s="3">
        <v>17.037296037296038</v>
      </c>
      <c r="J10" s="2" t="s">
        <v>32</v>
      </c>
      <c r="K10" s="3">
        <v>406.65337995337995</v>
      </c>
    </row>
    <row r="11" spans="1:11" x14ac:dyDescent="0.3">
      <c r="A11" s="2">
        <v>8</v>
      </c>
      <c r="B11" s="3">
        <v>93</v>
      </c>
    </row>
    <row r="12" spans="1:11" x14ac:dyDescent="0.3">
      <c r="A12" s="2">
        <v>9</v>
      </c>
      <c r="B12" s="3">
        <v>67</v>
      </c>
    </row>
    <row r="13" spans="1:11" x14ac:dyDescent="0.3">
      <c r="A13" s="2">
        <v>10</v>
      </c>
      <c r="B13" s="3">
        <v>74</v>
      </c>
    </row>
    <row r="14" spans="1:11" x14ac:dyDescent="0.3">
      <c r="A14" s="2">
        <v>11</v>
      </c>
      <c r="B14" s="3">
        <v>93</v>
      </c>
    </row>
    <row r="15" spans="1:11" x14ac:dyDescent="0.3">
      <c r="A15" s="2">
        <v>12</v>
      </c>
      <c r="B15" s="3">
        <v>93</v>
      </c>
    </row>
    <row r="16" spans="1:11" x14ac:dyDescent="0.3">
      <c r="A16" s="2">
        <v>13</v>
      </c>
      <c r="B16" s="3">
        <v>97</v>
      </c>
    </row>
    <row r="17" spans="1:2" x14ac:dyDescent="0.3">
      <c r="A17" s="2">
        <v>14</v>
      </c>
      <c r="B17" s="3">
        <v>80</v>
      </c>
    </row>
    <row r="18" spans="1:2" x14ac:dyDescent="0.3">
      <c r="A18" s="2">
        <v>15</v>
      </c>
      <c r="B18" s="3">
        <v>88</v>
      </c>
    </row>
    <row r="19" spans="1:2" x14ac:dyDescent="0.3">
      <c r="A19" s="2">
        <v>16</v>
      </c>
      <c r="B19" s="3">
        <v>66</v>
      </c>
    </row>
    <row r="20" spans="1:2" x14ac:dyDescent="0.3">
      <c r="A20" s="2">
        <v>17</v>
      </c>
      <c r="B20" s="3">
        <v>78</v>
      </c>
    </row>
    <row r="21" spans="1:2" x14ac:dyDescent="0.3">
      <c r="A21" s="2">
        <v>18</v>
      </c>
      <c r="B21" s="3">
        <v>82</v>
      </c>
    </row>
    <row r="22" spans="1:2" x14ac:dyDescent="0.3">
      <c r="A22" s="2">
        <v>19</v>
      </c>
      <c r="B22" s="3">
        <v>77</v>
      </c>
    </row>
    <row r="23" spans="1:2" x14ac:dyDescent="0.3">
      <c r="A23" s="2">
        <v>20</v>
      </c>
      <c r="B23" s="3">
        <v>90</v>
      </c>
    </row>
    <row r="24" spans="1:2" x14ac:dyDescent="0.3">
      <c r="A24" s="2">
        <v>21</v>
      </c>
      <c r="B24" s="3">
        <v>66</v>
      </c>
    </row>
    <row r="25" spans="1:2" x14ac:dyDescent="0.3">
      <c r="A25" s="2">
        <v>22</v>
      </c>
      <c r="B25" s="3">
        <v>75</v>
      </c>
    </row>
    <row r="26" spans="1:2" x14ac:dyDescent="0.3">
      <c r="A26" s="2">
        <v>23</v>
      </c>
      <c r="B26" s="3">
        <v>71</v>
      </c>
    </row>
    <row r="27" spans="1:2" x14ac:dyDescent="0.3">
      <c r="A27" s="2">
        <v>24</v>
      </c>
      <c r="B27" s="3">
        <v>67</v>
      </c>
    </row>
    <row r="28" spans="1:2" x14ac:dyDescent="0.3">
      <c r="A28" s="2">
        <v>25</v>
      </c>
      <c r="B28" s="3">
        <v>68</v>
      </c>
    </row>
    <row r="29" spans="1:2" x14ac:dyDescent="0.3">
      <c r="A29" s="2">
        <v>26</v>
      </c>
      <c r="B29" s="3">
        <v>72</v>
      </c>
    </row>
    <row r="30" spans="1:2" x14ac:dyDescent="0.3">
      <c r="A30" s="2">
        <v>27</v>
      </c>
      <c r="B30" s="3">
        <v>72</v>
      </c>
    </row>
    <row r="31" spans="1:2" x14ac:dyDescent="0.3">
      <c r="A31" s="2">
        <v>28</v>
      </c>
      <c r="B31" s="3">
        <v>89</v>
      </c>
    </row>
    <row r="32" spans="1:2" x14ac:dyDescent="0.3">
      <c r="A32" s="2">
        <v>29</v>
      </c>
      <c r="B32" s="3">
        <v>92</v>
      </c>
    </row>
    <row r="33" spans="1:2" x14ac:dyDescent="0.3">
      <c r="A33" s="2">
        <v>30</v>
      </c>
      <c r="B33" s="3">
        <v>66</v>
      </c>
    </row>
    <row r="34" spans="1:2" x14ac:dyDescent="0.3">
      <c r="A34" s="2">
        <v>31</v>
      </c>
      <c r="B34" s="3">
        <v>73</v>
      </c>
    </row>
    <row r="35" spans="1:2" x14ac:dyDescent="0.3">
      <c r="A35" s="2">
        <v>32</v>
      </c>
      <c r="B35" s="3">
        <v>98</v>
      </c>
    </row>
    <row r="36" spans="1:2" x14ac:dyDescent="0.3">
      <c r="A36" s="2">
        <v>33</v>
      </c>
      <c r="B36" s="3">
        <v>75</v>
      </c>
    </row>
    <row r="37" spans="1:2" x14ac:dyDescent="0.3">
      <c r="A37" s="2">
        <v>34</v>
      </c>
      <c r="B37" s="3">
        <v>98</v>
      </c>
    </row>
    <row r="38" spans="1:2" x14ac:dyDescent="0.3">
      <c r="A38" s="2">
        <v>35</v>
      </c>
      <c r="B38" s="3">
        <v>82</v>
      </c>
    </row>
    <row r="39" spans="1:2" x14ac:dyDescent="0.3">
      <c r="A39" s="2">
        <v>36</v>
      </c>
      <c r="B39" s="3">
        <v>84</v>
      </c>
    </row>
    <row r="40" spans="1:2" x14ac:dyDescent="0.3">
      <c r="A40" s="2">
        <v>37</v>
      </c>
      <c r="B40" s="3">
        <v>86</v>
      </c>
    </row>
    <row r="41" spans="1:2" x14ac:dyDescent="0.3">
      <c r="A41" s="2">
        <v>38</v>
      </c>
      <c r="B41" s="3">
        <v>85</v>
      </c>
    </row>
    <row r="42" spans="1:2" x14ac:dyDescent="0.3">
      <c r="A42" s="2">
        <v>39</v>
      </c>
      <c r="B42" s="3">
        <v>77</v>
      </c>
    </row>
    <row r="43" spans="1:2" x14ac:dyDescent="0.3">
      <c r="A43" s="2">
        <v>40</v>
      </c>
      <c r="B43" s="3">
        <v>66</v>
      </c>
    </row>
    <row r="44" spans="1:2" x14ac:dyDescent="0.3">
      <c r="A44" s="2">
        <v>41</v>
      </c>
      <c r="B44" s="3">
        <v>80</v>
      </c>
    </row>
    <row r="45" spans="1:2" x14ac:dyDescent="0.3">
      <c r="A45" s="2">
        <v>42</v>
      </c>
      <c r="B45" s="3">
        <v>98</v>
      </c>
    </row>
    <row r="46" spans="1:2" x14ac:dyDescent="0.3">
      <c r="A46" s="2">
        <v>43</v>
      </c>
      <c r="B46" s="3">
        <v>95</v>
      </c>
    </row>
    <row r="47" spans="1:2" x14ac:dyDescent="0.3">
      <c r="A47" s="2">
        <v>44</v>
      </c>
      <c r="B47" s="3">
        <v>85</v>
      </c>
    </row>
    <row r="48" spans="1:2" x14ac:dyDescent="0.3">
      <c r="A48" s="2">
        <v>45</v>
      </c>
      <c r="B48" s="3">
        <v>78</v>
      </c>
    </row>
    <row r="49" spans="1:2" x14ac:dyDescent="0.3">
      <c r="A49" s="2">
        <v>46</v>
      </c>
      <c r="B49" s="3">
        <v>70</v>
      </c>
    </row>
    <row r="50" spans="1:2" x14ac:dyDescent="0.3">
      <c r="A50" s="2">
        <v>47</v>
      </c>
      <c r="B50" s="3">
        <v>70</v>
      </c>
    </row>
    <row r="51" spans="1:2" x14ac:dyDescent="0.3">
      <c r="A51" s="2">
        <v>48</v>
      </c>
      <c r="B51" s="3">
        <v>77</v>
      </c>
    </row>
    <row r="52" spans="1:2" x14ac:dyDescent="0.3">
      <c r="A52" s="2">
        <v>49</v>
      </c>
      <c r="B52" s="3">
        <v>96</v>
      </c>
    </row>
    <row r="53" spans="1:2" x14ac:dyDescent="0.3">
      <c r="A53" s="2">
        <v>50</v>
      </c>
      <c r="B53" s="3">
        <v>87</v>
      </c>
    </row>
    <row r="54" spans="1:2" x14ac:dyDescent="0.3">
      <c r="A54" s="2" t="s">
        <v>32</v>
      </c>
      <c r="B54" s="3">
        <v>4087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045C-10E8-4051-8D1D-F01A5BD12226}">
  <dimension ref="A1"/>
  <sheetViews>
    <sheetView zoomScale="50" zoomScaleNormal="50" workbookViewId="0">
      <selection activeCell="X14" sqref="W6:X14"/>
    </sheetView>
  </sheetViews>
  <sheetFormatPr defaultRowHeight="14.4" x14ac:dyDescent="0.3"/>
  <cols>
    <col min="5" max="5" width="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Student_Data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Sameer Shaik</cp:lastModifiedBy>
  <dcterms:created xsi:type="dcterms:W3CDTF">2026-01-27T04:09:30Z</dcterms:created>
  <dcterms:modified xsi:type="dcterms:W3CDTF">2026-01-28T02:32:43Z</dcterms:modified>
</cp:coreProperties>
</file>